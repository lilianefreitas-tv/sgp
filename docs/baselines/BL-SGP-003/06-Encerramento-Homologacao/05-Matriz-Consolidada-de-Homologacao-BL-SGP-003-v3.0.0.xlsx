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bede11ba1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1f2962ac9b245b7"/>
    <x:sheet xmlns:r="http://schemas.openxmlformats.org/officeDocument/2006/relationships" name="Matriz de Homologação" sheetId="2" r:id="R57ec14028022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0"/>
      <x:color rgb="FFFFFFFF"/>
      <x:name val="Liberation Sans"/>
    </x:font>
    <x:font>
      <x:i/>
      <x:sz val="11"/>
      <x:color rgb="FF687780"/>
      <x:name val="Liberation Sans"/>
    </x:font>
    <x:font>
      <x:b/>
      <x:sz val="10"/>
      <x:color rgb="FFFFFFFF"/>
      <x:name val="Liberation Sans"/>
    </x:font>
    <x:font>
      <x:b/>
      <x:sz val="22"/>
      <x:color rgb="FF123B4A"/>
      <x:name val="Liberation Sans"/>
    </x:font>
    <x:font>
      <x:b/>
      <x:sz val="11"/>
      <x:color rgb="FFFFFFFF"/>
      <x:name val="Liberation Sans"/>
    </x:font>
    <x:font>
      <x:sz val="11"/>
      <x:color rgb="FF24313A"/>
      <x:name val="Liberation Sans"/>
    </x:font>
    <x:font>
      <x:sz val="10"/>
      <x:color rgb="FF24313A"/>
      <x:name val="Liberation Sans"/>
    </x:font>
    <x:font>
      <x:b/>
      <x:sz val="10"/>
      <x:color rgb="FF1D5D73"/>
      <x:name val="Liberation Sans"/>
    </x:font>
    <x:font>
      <x:b/>
      <x:sz val="18"/>
      <x:color rgb="FFFFFFFF"/>
      <x:name val="Liberation Sans"/>
    </x:font>
    <x:font>
      <x:i/>
      <x:sz val="10"/>
      <x:color rgb="FF687780"/>
      <x:name val="Liberation Sans"/>
    </x:font>
    <x:font>
      <x:b/>
      <x:sz val="9"/>
      <x:color rgb="FFFFFFFF"/>
      <x:name val="Liberation Sans"/>
    </x:font>
    <x:font>
      <x:sz val="9"/>
      <x:color rgb="FF24313A"/>
      <x:name val="Liberation Sans"/>
    </x:font>
  </x:fonts>
  <x:fills count="9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EF4F5"/>
      </x:patternFill>
    </x:fill>
    <x:fill>
      <x:patternFill patternType="solid">
        <x:fgColor rgb="FF1D5D73"/>
      </x:patternFill>
    </x:fill>
    <x:fill>
      <x:patternFill patternType="solid">
        <x:fgColor rgb="FFFFFFFF"/>
      </x:patternFill>
    </x:fill>
    <x:fill>
      <x:patternFill patternType="solid">
        <x:fgColor rgb="FF2E8B74"/>
      </x:patternFill>
    </x:fill>
    <x:fill>
      <x:patternFill patternType="solid">
        <x:fgColor rgb="FFE8F5EE"/>
      </x:patternFill>
    </x:fill>
    <x:fill>
      <x:patternFill patternType="solid">
        <x:fgColor rgb="FFF7FAFA"/>
      </x:patternFill>
    </x:fill>
  </x:fills>
  <x:borders count="14">
    <x:border/>
    <x:border>
      <x:left style="thin">
        <x:color rgb="FFB7C6CC"/>
      </x:left>
      <x:top style="thin">
        <x:color rgb="FFB7C6CC"/>
      </x:top>
    </x:border>
    <x:border>
      <x:right style="thin">
        <x:color rgb="FFB7C6CC"/>
      </x:right>
      <x:top style="thin">
        <x:color rgb="FFB7C6CC"/>
      </x:top>
    </x:border>
    <x:border>
      <x:left style="thin">
        <x:color rgb="FFB7C6CC"/>
      </x:left>
      <x:bottom style="thin">
        <x:color rgb="FFB7C6CC"/>
      </x:bottom>
    </x:border>
    <x:border>
      <x:right style="thin">
        <x:color rgb="FFB7C6CC"/>
      </x:right>
      <x:bottom style="thin">
        <x:color rgb="FFB7C6CC"/>
      </x:bottom>
    </x:border>
    <x:border>
      <x:right style="thin">
        <x:color rgb="FFD8E1E5"/>
      </x:right>
      <x:bottom style="thin">
        <x:color rgb="FFD8E1E5"/>
      </x:bottom>
    </x:border>
    <x:border>
      <x:left style="thin">
        <x:color rgb="FFD8E1E5"/>
      </x:left>
      <x:bottom style="thin">
        <x:color rgb="FFD8E1E5"/>
      </x:bottom>
    </x:border>
    <x:border>
      <x:right style="thin">
        <x:color rgb="FFD8E1E5"/>
      </x:right>
      <x:top style="thin">
        <x:color rgb="FFD8E1E5"/>
      </x:top>
      <x:bottom style="thin">
        <x:color rgb="FFD8E1E5"/>
      </x:bottom>
    </x:border>
    <x:border>
      <x:left style="thin">
        <x:color rgb="FFD8E1E5"/>
      </x:left>
      <x:top style="thin">
        <x:color rgb="FFD8E1E5"/>
      </x:top>
      <x:bottom style="thin">
        <x:color rgb="FFD8E1E5"/>
      </x:bottom>
    </x:border>
    <x:border>
      <x:right style="thin">
        <x:color rgb="FFD8E1E5"/>
      </x:right>
      <x:top style="thin">
        <x:color rgb="FFD8E1E5"/>
      </x:top>
    </x:border>
    <x:border>
      <x:left style="thin">
        <x:color rgb="FFD8E1E5"/>
      </x:left>
      <x:top style="thin">
        <x:color rgb="FFD8E1E5"/>
      </x:top>
    </x:border>
    <x:border>
      <x:bottom style="thin">
        <x:color rgb="FFD8E1E5"/>
      </x:bottom>
    </x:border>
    <x:border>
      <x:top style="thin">
        <x:color rgb="FFD8E1E5"/>
      </x:top>
      <x:bottom style="thin">
        <x:color rgb="FFD8E1E5"/>
      </x:bottom>
    </x:border>
    <x:border>
      <x:top style="thin">
        <x:color rgb="FFD8E1E5"/>
      </x:top>
      <x:bottom style="thin">
        <x:color rgb="FFAFC0C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1" fillId="2" borderId="11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2" fillId="8" borderId="12" xfId="0" applyNumberFormat="1" applyFont="1" applyFill="1" applyBorder="1" applyAlignment="1">
      <x:alignment horizontal="center" vertical="center" wrapText="1"/>
    </x:xf>
    <x:xf numFmtId="0" fontId="12" fillId="8" borderId="12" xfId="0" applyNumberFormat="1" applyFont="1" applyFill="1" applyBorder="1" applyAlignment="1">
      <x:alignment vertical="center" wrapText="1"/>
    </x:xf>
    <x:xf numFmtId="0" fontId="12" fillId="8" borderId="13" xfId="0" applyNumberFormat="1" applyFont="1" applyFill="1" applyBorder="1" applyAlignment="1">
      <x:alignment horizontal="center" vertical="center" wrapText="1"/>
    </x:xf>
    <x:xf numFmtId="0" fontId="12" fillId="8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7673F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61b3020f8401a" /><Relationship Type="http://schemas.openxmlformats.org/officeDocument/2006/relationships/theme" Target="/xl/theme/theme1.xml" Id="Ra0b13bbee8174ace" /><Relationship Type="http://schemas.openxmlformats.org/officeDocument/2006/relationships/sharedStrings" Target="/xl/sharedStrings.xml" Id="R1606de27a92f4db9" /><Relationship Type="http://schemas.openxmlformats.org/officeDocument/2006/relationships/worksheet" Target="/xl/worksheets/sheet1.xml" Id="R51f2962ac9b245b7" /><Relationship Type="http://schemas.openxmlformats.org/officeDocument/2006/relationships/worksheet" Target="/xl/worksheets/sheet2.xml" Id="R57ec14028022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0" customHeight="1">
      <x:c r="A1" s="3" t="str">
        <x:v>BL-SGP-003 · Homologação e encerramento</x:v>
      </x:c>
      <x:c r="B1" s="3"/>
      <x:c r="C1" s="3"/>
      <x:c r="D1" s="3"/>
      <x:c r="E1" s="3"/>
      <x:c r="F1" s="3"/>
    </x:row>
    <x:row r="2" ht="20" customHeight="1">
      <x:c r="A2" s="3"/>
      <x:c r="B2" s="3"/>
      <x:c r="C2" s="3"/>
      <x:c r="D2" s="3"/>
      <x:c r="E2" s="3"/>
      <x:c r="F2" s="3"/>
    </x:row>
    <x:row r="3" ht="20" customHeight="1">
      <x:c r="A3" s="5" t="str">
        <x:v>Release candidata v3.0.0 · P10 · 30/08/2026</x:v>
      </x:c>
      <x:c r="B3" s="5"/>
      <x:c r="C3" s="5"/>
      <x:c r="D3" s="5"/>
      <x:c r="E3" s="5"/>
      <x:c r="F3" s="5"/>
    </x:row>
    <x:row r="4" ht="20" customHeight="1"/>
    <x:row r="5" ht="20" customHeight="1">
      <x:c r="A5" s="8" t="str">
        <x:v>Controles</x:v>
      </x:c>
      <x:c r="B5" s="8"/>
      <x:c r="C5" s="8" t="str">
        <x:v>Aprovados</x:v>
      </x:c>
      <x:c r="D5" s="8"/>
      <x:c r="E5" s="8" t="str">
        <x:v>Pendentes</x:v>
      </x:c>
      <x:c r="F5" s="8"/>
    </x:row>
    <x:row r="6" ht="20" customHeight="1">
      <x:c r="A6" s="19" t="n">
        <x:f>COUNTA('Matriz de Homologação'!$A$7:$A$32)</x:f>
        <x:v>26</x:v>
      </x:c>
      <x:c r="B6" s="20"/>
      <x:c r="C6" s="19" t="n">
        <x:f>COUNTIF('Matriz de Homologação'!$J$7:$J$32,"Aprovado")</x:f>
        <x:v>13</x:v>
      </x:c>
      <x:c r="D6" s="20"/>
      <x:c r="E6" s="19" t="n">
        <x:f>COUNTIF('Matriz de Homologação'!$J$7:$J$32,"Pendente")</x:f>
        <x:v>13</x:v>
      </x:c>
      <x:c r="F6" s="20"/>
    </x:row>
    <x:row r="7" ht="20" customHeight="1">
      <x:c r="A7" s="21"/>
      <x:c r="B7" s="22"/>
      <x:c r="C7" s="21"/>
      <x:c r="D7" s="22"/>
      <x:c r="E7" s="21"/>
      <x:c r="F7" s="22"/>
    </x:row>
    <x:row r="8" ht="20" customHeight="1"/>
    <x:row r="9" ht="20" customHeight="1">
      <x:c r="A9" s="24" t="str">
        <x:v>Decisão registrada</x:v>
      </x:c>
      <x:c r="B9" s="24"/>
      <x:c r="C9" s="24"/>
      <x:c r="D9" s="24"/>
      <x:c r="E9" s="24"/>
      <x:c r="F9" s="24"/>
    </x:row>
    <x:row r="10" ht="20" customHeight="1">
      <x:c r="A10" s="28" t="str">
        <x:v>Percursos P01 a P09 e 367 testes automatizados aprovados. O congelamento técnico permanece condicionado ao merge, deploy, SHA e tag da release.</x:v>
      </x:c>
      <x:c r="B10" s="28"/>
      <x:c r="C10" s="28"/>
      <x:c r="D10" s="28"/>
      <x:c r="E10" s="28"/>
      <x:c r="F10" s="28"/>
    </x:row>
    <x:row r="11" ht="20" customHeight="1">
      <x:c r="A11" s="28"/>
      <x:c r="B11" s="28"/>
      <x:c r="C11" s="28"/>
      <x:c r="D11" s="28"/>
      <x:c r="E11" s="28"/>
      <x:c r="F11" s="28"/>
    </x:row>
    <x:row r="12" ht="20" customHeight="1">
      <x:c r="A12" s="28"/>
      <x:c r="B12" s="28"/>
      <x:c r="C12" s="28"/>
      <x:c r="D12" s="28"/>
      <x:c r="E12" s="28"/>
      <x:c r="F12" s="28"/>
    </x:row>
    <x:row r="13" ht="20" customHeight="1"/>
    <x:row r="14" ht="20" customHeight="1">
      <x:c r="A14" s="29" t="str">
        <x:v>Referência</x:v>
      </x:c>
      <x:c r="B14" s="29" t="str">
        <x:v>Valor</x:v>
      </x:c>
    </x:row>
    <x:row r="15" ht="20" customHeight="1">
      <x:c r="A15" s="43" t="str">
        <x:v>Baseline</x:v>
      </x:c>
      <x:c r="B15" s="38" t="str">
        <x:v>BL-SGP-003</x:v>
      </x:c>
    </x:row>
    <x:row r="16" ht="20" customHeight="1">
      <x:c r="A16" s="44" t="str">
        <x:v>Revisão documental</x:v>
      </x:c>
      <x:c r="B16" s="40" t="str">
        <x:v>2.1</x:v>
      </x:c>
    </x:row>
    <x:row r="17" ht="20" customHeight="1">
      <x:c r="A17" s="44" t="str">
        <x:v>Release</x:v>
      </x:c>
      <x:c r="B17" s="40" t="str">
        <x:v>v3.0.0</x:v>
      </x:c>
    </x:row>
    <x:row r="18" ht="32" customHeight="1">
      <x:c r="A18" s="44" t="str">
        <x:v>Responsável</x:v>
      </x:c>
      <x:c r="B18" s="40" t="str">
        <x:v>Liliane de Freitas Terra Vieira</x:v>
      </x:c>
    </x:row>
    <x:row r="19" ht="42" customHeight="1">
      <x:c r="A19" s="45" t="str">
        <x:v>Identidade visual</x:v>
      </x:c>
      <x:c r="B19" s="42" t="str">
        <x:v>Mantida; evolução destinada à BL-SGP-004</x:v>
      </x:c>
    </x:row>
    <x:row r="20" ht="20" customHeight="1"/>
    <x:row r="21" ht="20" customHeight="1">
      <x:c r="A21" s="48" t="str">
        <x:v>Preencher os controles pendentes somente depois da publicação real. Não registrar credenciais, tokens, senhas temporárias ou logs brutos como evidência.</x:v>
      </x:c>
      <x:c r="B21" s="48"/>
      <x:c r="C21" s="48"/>
      <x:c r="D21" s="48"/>
      <x:c r="E21" s="48"/>
      <x:c r="F21" s="48"/>
    </x:row>
    <x:row r="22" ht="20" customHeight="1">
      <x:c r="A22" s="48"/>
      <x:c r="B22" s="48"/>
      <x:c r="C22" s="48"/>
      <x:c r="D22" s="48"/>
      <x:c r="E22" s="48"/>
      <x:c r="F22" s="48"/>
    </x:row>
    <x:row r="23" ht="20" customHeight="1">
      <x:c r="A23" s="48"/>
      <x:c r="B23" s="48"/>
      <x:c r="C23" s="48"/>
      <x:c r="D23" s="48"/>
      <x:c r="E23" s="48"/>
      <x:c r="F23" s="48"/>
    </x:row>
  </x:sheetData>
  <x:mergeCells>
    <x:mergeCell ref="A1:F2"/>
    <x:mergeCell ref="A3:F3"/>
    <x:mergeCell ref="A5:B5"/>
    <x:mergeCell ref="C5:D5"/>
    <x:mergeCell ref="E5:F5"/>
    <x:mergeCell ref="A6:B7"/>
    <x:mergeCell ref="C6:D7"/>
    <x:mergeCell ref="E6:F7"/>
    <x:mergeCell ref="A9:F9"/>
    <x:mergeCell ref="A10:F12"/>
    <x:mergeCell ref="A21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28" hidden="0" customWidth="1"/>
    <x:col min="4" max="4" width="20" hidden="0" customWidth="1"/>
    <x:col min="5" max="5" width="25" hidden="0" customWidth="1"/>
    <x:col min="6" max="6" width="29" hidden="0" customWidth="1"/>
    <x:col min="7" max="7" width="27" hidden="0" customWidth="1"/>
    <x:col min="8" max="8" width="30" hidden="0" customWidth="1"/>
    <x:col min="9" max="9" width="12" hidden="0" customWidth="1"/>
    <x:col min="10" max="10" width="17" hidden="0" customWidth="1"/>
  </x:cols>
  <x:sheetData>
    <x:row r="1" ht="30" customHeight="1">
      <x:c r="A1" s="50" t="str">
        <x:v>Matriz consolidada de homologação · BL-SGP-003 · v3.0.0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0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</x:row>
    <x:row r="3" ht="30" customHeight="1">
      <x:c r="A3" s="51" t="str">
        <x:v>Resultados funcionais aprovados e controles finais de publicação</x:v>
      </x:c>
      <x:c r="B3" s="51"/>
      <x:c r="C3" s="51"/>
      <x:c r="D3" s="51"/>
      <x:c r="E3" s="51"/>
      <x:c r="F3" s="51"/>
      <x:c r="G3" s="51"/>
      <x:c r="H3" s="51"/>
      <x:c r="I3" s="51"/>
      <x:c r="J3" s="51"/>
    </x:row>
    <x:row r="4" ht="30" customHeight="1"/>
    <x:row r="5" ht="30" customHeight="1"/>
    <x:row r="6" ht="36" customHeight="1">
      <x:c r="A6" s="62" t="str">
        <x:v>ID</x:v>
      </x:c>
      <x:c r="B6" s="62" t="str">
        <x:v>Pacote</x:v>
      </x:c>
      <x:c r="C6" s="62" t="str">
        <x:v>Cenário / objetivo</x:v>
      </x:c>
      <x:c r="D6" s="62" t="str">
        <x:v>Origem</x:v>
      </x:c>
      <x:c r="E6" s="62" t="str">
        <x:v>Precondição</x:v>
      </x:c>
      <x:c r="F6" s="62" t="str">
        <x:v>Resultado esperado</x:v>
      </x:c>
      <x:c r="G6" s="62" t="str">
        <x:v>Resultado obtido</x:v>
      </x:c>
      <x:c r="H6" s="62" t="str">
        <x:v>Evidência</x:v>
      </x:c>
      <x:c r="I6" s="62" t="str">
        <x:v>Severidade</x:v>
      </x:c>
      <x:c r="J6" s="62" t="str">
        <x:v>Status</x:v>
      </x:c>
    </x:row>
    <x:row r="7" ht="30" customHeight="1">
      <x:c r="A7" s="63" t="str">
        <x:v>HOM-P01-001</x:v>
      </x:c>
      <x:c r="B7" s="63" t="str">
        <x:v>P01</x:v>
      </x:c>
      <x:c r="C7" s="64" t="str">
        <x:v>Entrada por iniciativa e ciclo de vida</x:v>
      </x:c>
      <x:c r="D7" s="64" t="str">
        <x:v>BL3 / iniciativas</x:v>
      </x:c>
      <x:c r="E7" s="64" t="str">
        <x:v>Organização ativa</x:v>
      </x:c>
      <x:c r="F7" s="64" t="str">
        <x:v>Criar e evoluir iniciativa com isolamento</x:v>
      </x:c>
      <x:c r="G7" s="64" t="str">
        <x:v>Aprovado funcionalmente</x:v>
      </x:c>
      <x:c r="H7" s="64" t="str">
        <x:v>Testes Initiative* e validação da responsável</x:v>
      </x:c>
      <x:c r="I7" s="63" t="str">
        <x:v>Alta</x:v>
      </x:c>
      <x:c r="J7" s="63" t="str">
        <x:v>Aprovado</x:v>
      </x:c>
    </x:row>
    <x:row r="8" ht="30" customHeight="1">
      <x:c r="A8" s="65" t="str">
        <x:v>HOM-P02-001</x:v>
      </x:c>
      <x:c r="B8" s="65" t="str">
        <x:v>P02</x:v>
      </x:c>
      <x:c r="C8" s="66" t="str">
        <x:v>Aplicabilidade e governança proporcional</x:v>
      </x:c>
      <x:c r="D8" s="66" t="str">
        <x:v>BL3 / aplicabilidade</x:v>
      </x:c>
      <x:c r="E8" s="66" t="str">
        <x:v>Iniciativa configurada</x:v>
      </x:c>
      <x:c r="F8" s="66" t="str">
        <x:v>Calcular aplicabilidade e preservar justificativas</x:v>
      </x:c>
      <x:c r="G8" s="66" t="str">
        <x:v>Aprovado funcionalmente</x:v>
      </x:c>
      <x:c r="H8" s="66" t="str">
        <x:v>ApplicabilityFoundationTest e ApplicabilityEngineTest</x:v>
      </x:c>
      <x:c r="I8" s="65" t="str">
        <x:v>Alta</x:v>
      </x:c>
      <x:c r="J8" s="65" t="str">
        <x:v>Aprovado</x:v>
      </x:c>
    </x:row>
    <x:row r="9" ht="30" customHeight="1">
      <x:c r="A9" s="63" t="str">
        <x:v>HOM-P03-001</x:v>
      </x:c>
      <x:c r="B9" s="63" t="str">
        <x:v>P03</x:v>
      </x:c>
      <x:c r="C9" s="64" t="str">
        <x:v>Jornada comercial opcional</x:v>
      </x:c>
      <x:c r="D9" s="64" t="str">
        <x:v>BL3 / jornada comercial</x:v>
      </x:c>
      <x:c r="E9" s="64" t="str">
        <x:v>Iniciativa elegível</x:v>
      </x:c>
      <x:c r="F9" s="64" t="str">
        <x:v>Registrar oportunidade, proposta e negociação</x:v>
      </x:c>
      <x:c r="G9" s="64" t="str">
        <x:v>Aprovado funcionalmente</x:v>
      </x:c>
      <x:c r="H9" s="64" t="str">
        <x:v>CommercialJourneyFlowTest e CommercialJourneyTest</x:v>
      </x:c>
      <x:c r="I9" s="63" t="str">
        <x:v>Alta</x:v>
      </x:c>
      <x:c r="J9" s="63" t="str">
        <x:v>Aprovado</x:v>
      </x:c>
    </x:row>
    <x:row r="10" ht="30" customHeight="1">
      <x:c r="A10" s="65" t="str">
        <x:v>HOM-P04-001</x:v>
      </x:c>
      <x:c r="B10" s="65" t="str">
        <x:v>P04</x:v>
      </x:c>
      <x:c r="C10" s="66" t="str">
        <x:v>Artefatos, revisões e publicações</x:v>
      </x:c>
      <x:c r="D10" s="66" t="str">
        <x:v>BL3 / artefatos</x:v>
      </x:c>
      <x:c r="E10" s="66" t="str">
        <x:v>Contexto autorizado</x:v>
      </x:c>
      <x:c r="F10" s="66" t="str">
        <x:v>Versionar, tramitar e publicar DOCX/PDF</x:v>
      </x:c>
      <x:c r="G10" s="66" t="str">
        <x:v>Aprovado funcionalmente</x:v>
      </x:c>
      <x:c r="H10" s="66" t="str">
        <x:v>Testes Artifact*</x:v>
      </x:c>
      <x:c r="I10" s="65" t="str">
        <x:v>Crítica</x:v>
      </x:c>
      <x:c r="J10" s="65" t="str">
        <x:v>Aprovado</x:v>
      </x:c>
    </x:row>
    <x:row r="11" ht="30" customHeight="1">
      <x:c r="A11" s="63" t="str">
        <x:v>HOM-P05-001</x:v>
      </x:c>
      <x:c r="B11" s="63" t="str">
        <x:v>P05</x:v>
      </x:c>
      <x:c r="C11" s="64" t="str">
        <x:v>Conversão e incorporação ao projeto</x:v>
      </x:c>
      <x:c r="D11" s="64" t="str">
        <x:v>BL3 / integração</x:v>
      </x:c>
      <x:c r="E11" s="64" t="str">
        <x:v>Origem aprovada</x:v>
      </x:c>
      <x:c r="F11" s="64" t="str">
        <x:v>Converter sem duplicar e preservar origem</x:v>
      </x:c>
      <x:c r="G11" s="64" t="str">
        <x:v>Aprovado funcionalmente</x:v>
      </x:c>
      <x:c r="H11" s="64" t="str">
        <x:v>InitiativeConversionTest e ProjectIncorporationTest</x:v>
      </x:c>
      <x:c r="I11" s="63" t="str">
        <x:v>Crítica</x:v>
      </x:c>
      <x:c r="J11" s="63" t="str">
        <x:v>Aprovado</x:v>
      </x:c>
    </x:row>
    <x:row r="12" ht="30" customHeight="1">
      <x:c r="A12" s="65" t="str">
        <x:v>HOM-P06-001</x:v>
      </x:c>
      <x:c r="B12" s="65" t="str">
        <x:v>P06</x:v>
      </x:c>
      <x:c r="C12" s="66" t="str">
        <x:v>Contratos e baselines de projeto</x:v>
      </x:c>
      <x:c r="D12" s="66" t="str">
        <x:v>BL3 / RF087-RF100</x:v>
      </x:c>
      <x:c r="E12" s="66" t="str">
        <x:v>Projeto autorizado</x:v>
      </x:c>
      <x:c r="F12" s="66" t="str">
        <x:v>Registrar contrato, baseline e itens congelados</x:v>
      </x:c>
      <x:c r="G12" s="66" t="str">
        <x:v>Aprovado funcionalmente</x:v>
      </x:c>
      <x:c r="H12" s="66" t="str">
        <x:v>Testes ProjectContract* e ProjectBaselineTest</x:v>
      </x:c>
      <x:c r="I12" s="65" t="str">
        <x:v>Crítica</x:v>
      </x:c>
      <x:c r="J12" s="65" t="str">
        <x:v>Aprovado</x:v>
      </x:c>
    </x:row>
    <x:row r="13" ht="30" customHeight="1">
      <x:c r="A13" s="63" t="str">
        <x:v>HOM-P07-001</x:v>
      </x:c>
      <x:c r="B13" s="63" t="str">
        <x:v>P07</x:v>
      </x:c>
      <x:c r="C13" s="64" t="str">
        <x:v>Mudanças e análise de impacto</x:v>
      </x:c>
      <x:c r="D13" s="64" t="str">
        <x:v>BL3 / mudanças</x:v>
      </x:c>
      <x:c r="E13" s="64" t="str">
        <x:v>Projeto com baseline</x:v>
      </x:c>
      <x:c r="F13" s="64" t="str">
        <x:v>Solicitar, analisar e implementar mudança</x:v>
      </x:c>
      <x:c r="G13" s="64" t="str">
        <x:v>Aprovado funcionalmente</x:v>
      </x:c>
      <x:c r="H13" s="64" t="str">
        <x:v>ChangeRequest*</x:v>
      </x:c>
      <x:c r="I13" s="63" t="str">
        <x:v>Crítica</x:v>
      </x:c>
      <x:c r="J13" s="63" t="str">
        <x:v>Aprovado</x:v>
      </x:c>
    </x:row>
    <x:row r="14" ht="30" customHeight="1">
      <x:c r="A14" s="65" t="str">
        <x:v>HOM-P08-001</x:v>
      </x:c>
      <x:c r="B14" s="65" t="str">
        <x:v>P08</x:v>
      </x:c>
      <x:c r="C14" s="66" t="str">
        <x:v>Testes, evidências e rastreabilidade</x:v>
      </x:c>
      <x:c r="D14" s="66" t="str">
        <x:v>BL3 / VV</x:v>
      </x:c>
      <x:c r="E14" s="66" t="str">
        <x:v>Projeto autorizado</x:v>
      </x:c>
      <x:c r="F14" s="66" t="str">
        <x:v>Planejar, executar e vincular evidências</x:v>
      </x:c>
      <x:c r="G14" s="66" t="str">
        <x:v>Aprovado funcionalmente</x:v>
      </x:c>
      <x:c r="H14" s="66" t="str">
        <x:v>ProjectTestingTest e ProjectTraceabilityTest</x:v>
      </x:c>
      <x:c r="I14" s="65" t="str">
        <x:v>Crítica</x:v>
      </x:c>
      <x:c r="J14" s="65" t="str">
        <x:v>Aprovado</x:v>
      </x:c>
    </x:row>
    <x:row r="15" ht="30" customHeight="1">
      <x:c r="A15" s="63" t="str">
        <x:v>HOM-P09-001</x:v>
      </x:c>
      <x:c r="B15" s="63" t="str">
        <x:v>P09</x:v>
      </x:c>
      <x:c r="C15" s="64" t="str">
        <x:v>SMTP e teste de entrega real</x:v>
      </x:c>
      <x:c r="D15" s="64" t="str">
        <x:v>RM-004</x:v>
      </x:c>
      <x:c r="E15" s="64" t="str">
        <x:v>SMTP configurado</x:v>
      </x:c>
      <x:c r="F15" s="64" t="str">
        <x:v>Enviar e receber mensagem</x:v>
      </x:c>
      <x:c r="G15" s="64" t="str">
        <x:v>Recebido e confirmado</x:v>
      </x:c>
      <x:c r="H15" s="64" t="str">
        <x:v>Evidência sanitizada e PlatformCommunicationTest</x:v>
      </x:c>
      <x:c r="I15" s="63" t="str">
        <x:v>Crítica</x:v>
      </x:c>
      <x:c r="J15" s="63" t="str">
        <x:v>Aprovado</x:v>
      </x:c>
    </x:row>
    <x:row r="16" ht="30" customHeight="1">
      <x:c r="A16" s="65" t="str">
        <x:v>HOM-P09-002</x:v>
      </x:c>
      <x:c r="B16" s="65" t="str">
        <x:v>P09</x:v>
      </x:c>
      <x:c r="C16" s="66" t="str">
        <x:v>Recuperação pública de senha</x:v>
      </x:c>
      <x:c r="D16" s="66" t="str">
        <x:v>RM-004</x:v>
      </x:c>
      <x:c r="E16" s="66" t="str">
        <x:v>Conta ativa e fila</x:v>
      </x:c>
      <x:c r="F16" s="66" t="str">
        <x:v>Enviar link temporário de uso único</x:v>
      </x:c>
      <x:c r="G16" s="66" t="str">
        <x:v>Aprovado funcionalmente</x:v>
      </x:c>
      <x:c r="H16" s="66" t="str">
        <x:v>PasswordRecoveryTest</x:v>
      </x:c>
      <x:c r="I16" s="65" t="str">
        <x:v>Crítica</x:v>
      </x:c>
      <x:c r="J16" s="65" t="str">
        <x:v>Aprovado</x:v>
      </x:c>
    </x:row>
    <x:row r="17" ht="30" customHeight="1">
      <x:c r="A17" s="63" t="str">
        <x:v>HOM-P09-003</x:v>
      </x:c>
      <x:c r="B17" s="63" t="str">
        <x:v>P09</x:v>
      </x:c>
      <x:c r="C17" s="64" t="str">
        <x:v>Senha temporária administrativa</x:v>
      </x:c>
      <x:c r="D17" s="64" t="str">
        <x:v>RM-004</x:v>
      </x:c>
      <x:c r="E17" s="64" t="str">
        <x:v>Superadmin e conta ativa</x:v>
      </x:c>
      <x:c r="F17" s="64" t="str">
        <x:v>Revogar sessões e exigir troca</x:v>
      </x:c>
      <x:c r="G17" s="64" t="str">
        <x:v>Aprovado funcionalmente</x:v>
      </x:c>
      <x:c r="H17" s="64" t="str">
        <x:v>AdministrativePasswordResetTest e RequiredPasswordChangeTest</x:v>
      </x:c>
      <x:c r="I17" s="63" t="str">
        <x:v>Crítica</x:v>
      </x:c>
      <x:c r="J17" s="63" t="str">
        <x:v>Aprovado</x:v>
      </x:c>
    </x:row>
    <x:row r="18" ht="30" customHeight="1">
      <x:c r="A18" s="65" t="str">
        <x:v>HOM-P09-004</x:v>
      </x:c>
      <x:c r="B18" s="65" t="str">
        <x:v>P09</x:v>
      </x:c>
      <x:c r="C18" s="66" t="str">
        <x:v>Auditoria global e organizacional</x:v>
      </x:c>
      <x:c r="D18" s="66" t="str">
        <x:v>RM-004</x:v>
      </x:c>
      <x:c r="E18" s="66" t="str">
        <x:v>Perfis adequados</x:v>
      </x:c>
      <x:c r="F18" s="66" t="str">
        <x:v>Separar trilhas e proteger eventos globais</x:v>
      </x:c>
      <x:c r="G18" s="66" t="str">
        <x:v>Aprovado funcionalmente</x:v>
      </x:c>
      <x:c r="H18" s="66" t="str">
        <x:v>PlatformSecurityAuditTest e OrganizationFilesAndAuditTest</x:v>
      </x:c>
      <x:c r="I18" s="65" t="str">
        <x:v>Alta</x:v>
      </x:c>
      <x:c r="J18" s="65" t="str">
        <x:v>Aprovado</x:v>
      </x:c>
    </x:row>
    <x:row r="19" ht="30" customHeight="1">
      <x:c r="A19" s="63" t="str">
        <x:v>HOM-P10-001</x:v>
      </x:c>
      <x:c r="B19" s="63" t="str">
        <x:v>P10</x:v>
      </x:c>
      <x:c r="C19" s="64" t="str">
        <x:v>Suíte automatizada integral</x:v>
      </x:c>
      <x:c r="D19" s="64" t="str">
        <x:v>Release</x:v>
      </x:c>
      <x:c r="E19" s="64" t="str">
        <x:v>Candidata aplicada</x:v>
      </x:c>
      <x:c r="F19" s="64" t="str">
        <x:v>367 testes e 1.473 asserções</x:v>
      </x:c>
      <x:c r="G19" s="64" t="str">
        <x:v>Repetir na candidata</x:v>
      </x:c>
      <x:c r="H19" s="64" t="str">
        <x:v>Saída do php artisan test</x:v>
      </x:c>
      <x:c r="I19" s="63" t="str">
        <x:v>Crítica</x:v>
      </x:c>
      <x:c r="J19" s="63" t="str">
        <x:v>Pendente</x:v>
      </x:c>
    </x:row>
    <x:row r="20" ht="30" customHeight="1">
      <x:c r="A20" s="65" t="str">
        <x:v>HOM-P10-002</x:v>
      </x:c>
      <x:c r="B20" s="65" t="str">
        <x:v>P10</x:v>
      </x:c>
      <x:c r="C20" s="66" t="str">
        <x:v>Build de produção</x:v>
      </x:c>
      <x:c r="D20" s="66" t="str">
        <x:v>Release</x:v>
      </x:c>
      <x:c r="E20" s="66" t="str">
        <x:v>Dependências instaladas</x:v>
      </x:c>
      <x:c r="F20" s="66" t="str">
        <x:v>Composer e Vite sem erro</x:v>
      </x:c>
      <x:c r="G20" s="66" t="str">
        <x:v>A executar</x:v>
      </x:c>
      <x:c r="H20" s="66" t="str">
        <x:v>Log sanitizado</x:v>
      </x:c>
      <x:c r="I20" s="65" t="str">
        <x:v>Alta</x:v>
      </x:c>
      <x:c r="J20" s="65" t="str">
        <x:v>Pendente</x:v>
      </x:c>
    </x:row>
    <x:row r="21" ht="30" customHeight="1">
      <x:c r="A21" s="63" t="str">
        <x:v>HOM-P10-003</x:v>
      </x:c>
      <x:c r="B21" s="63" t="str">
        <x:v>P10</x:v>
      </x:c>
      <x:c r="C21" s="64" t="str">
        <x:v>Integridade textual do Git</x:v>
      </x:c>
      <x:c r="D21" s="64" t="str">
        <x:v>Release</x:v>
      </x:c>
      <x:c r="E21" s="64" t="str">
        <x:v>Candidata aplicada</x:v>
      </x:c>
      <x:c r="F21" s="64" t="str">
        <x:v>git diff --check sem saída</x:v>
      </x:c>
      <x:c r="G21" s="64" t="str">
        <x:v>Repetir na candidata</x:v>
      </x:c>
      <x:c r="H21" s="64" t="str">
        <x:v>Saída do comando</x:v>
      </x:c>
      <x:c r="I21" s="63" t="str">
        <x:v>Média</x:v>
      </x:c>
      <x:c r="J21" s="63" t="str">
        <x:v>Pendente</x:v>
      </x:c>
    </x:row>
    <x:row r="22" ht="30" customHeight="1">
      <x:c r="A22" s="65" t="str">
        <x:v>HOM-P10-004</x:v>
      </x:c>
      <x:c r="B22" s="65" t="str">
        <x:v>P10</x:v>
      </x:c>
      <x:c r="C22" s="66" t="str">
        <x:v>Merge controlado na main</x:v>
      </x:c>
      <x:c r="D22" s="66" t="str">
        <x:v>Configuração</x:v>
      </x:c>
      <x:c r="E22" s="66" t="str">
        <x:v>Checks aprovados</x:v>
      </x:c>
      <x:c r="F22" s="66" t="str">
        <x:v>Commit incorporado e identificado</x:v>
      </x:c>
      <x:c r="G22" s="66" t="str">
        <x:v>A executar</x:v>
      </x:c>
      <x:c r="H22" s="66" t="str">
        <x:v>PR e SHA da main</x:v>
      </x:c>
      <x:c r="I22" s="65" t="str">
        <x:v>Crítica</x:v>
      </x:c>
      <x:c r="J22" s="65" t="str">
        <x:v>Pendente</x:v>
      </x:c>
    </x:row>
    <x:row r="23" ht="30" customHeight="1">
      <x:c r="A23" s="63" t="str">
        <x:v>HOM-P10-005</x:v>
      </x:c>
      <x:c r="B23" s="63" t="str">
        <x:v>P10</x:v>
      </x:c>
      <x:c r="C23" s="64" t="str">
        <x:v>Deploy e migrations</x:v>
      </x:c>
      <x:c r="D23" s="64" t="str">
        <x:v>Operação</x:v>
      </x:c>
      <x:c r="E23" s="64" t="str">
        <x:v>Commit na main</x:v>
      </x:c>
      <x:c r="F23" s="64" t="str">
        <x:v>Deploy e migrations sem erro</x:v>
      </x:c>
      <x:c r="G23" s="64" t="str">
        <x:v>A executar</x:v>
      </x:c>
      <x:c r="H23" s="64" t="str">
        <x:v>EVD-P10-001</x:v>
      </x:c>
      <x:c r="I23" s="63" t="str">
        <x:v>Crítica</x:v>
      </x:c>
      <x:c r="J23" s="63" t="str">
        <x:v>Pendente</x:v>
      </x:c>
    </x:row>
    <x:row r="24" ht="30" customHeight="1">
      <x:c r="A24" s="65" t="str">
        <x:v>HOM-P10-006</x:v>
      </x:c>
      <x:c r="B24" s="65" t="str">
        <x:v>P10</x:v>
      </x:c>
      <x:c r="C24" s="66" t="str">
        <x:v>Fila de produção</x:v>
      </x:c>
      <x:c r="D24" s="66" t="str">
        <x:v>Operação</x:v>
      </x:c>
      <x:c r="E24" s="66" t="str">
        <x:v>Fila configurada</x:v>
      </x:c>
      <x:c r="F24" s="66" t="str">
        <x:v>Jobs processados e falhas observáveis</x:v>
      </x:c>
      <x:c r="G24" s="66" t="str">
        <x:v>A executar</x:v>
      </x:c>
      <x:c r="H24" s="66" t="str">
        <x:v>EVD-P10-002</x:v>
      </x:c>
      <x:c r="I24" s="65" t="str">
        <x:v>Crítica</x:v>
      </x:c>
      <x:c r="J24" s="65" t="str">
        <x:v>Pendente</x:v>
      </x:c>
    </x:row>
    <x:row r="25" ht="30" customHeight="1">
      <x:c r="A25" s="63" t="str">
        <x:v>HOM-P10-007</x:v>
      </x:c>
      <x:c r="B25" s="63" t="str">
        <x:v>P10</x:v>
      </x:c>
      <x:c r="C25" s="64" t="str">
        <x:v>Persistência privada</x:v>
      </x:c>
      <x:c r="D25" s="64" t="str">
        <x:v>Operação</x:v>
      </x:c>
      <x:c r="E25" s="64" t="str">
        <x:v>Banco e storage vinculados</x:v>
      </x:c>
      <x:c r="F25" s="64" t="str">
        <x:v>Dados persistem após deploy</x:v>
      </x:c>
      <x:c r="G25" s="64" t="str">
        <x:v>A executar</x:v>
      </x:c>
      <x:c r="H25" s="64" t="str">
        <x:v>EVD-P10-003</x:v>
      </x:c>
      <x:c r="I25" s="63" t="str">
        <x:v>Crítica</x:v>
      </x:c>
      <x:c r="J25" s="63" t="str">
        <x:v>Pendente</x:v>
      </x:c>
    </x:row>
    <x:row r="26" ht="30" customHeight="1">
      <x:c r="A26" s="65" t="str">
        <x:v>HOM-P10-008</x:v>
      </x:c>
      <x:c r="B26" s="65" t="str">
        <x:v>P10</x:v>
      </x:c>
      <x:c r="C26" s="66" t="str">
        <x:v>Smoke test de produção</x:v>
      </x:c>
      <x:c r="D26" s="66" t="str">
        <x:v>Publicação</x:v>
      </x:c>
      <x:c r="E26" s="66" t="str">
        <x:v>Deploy aprovado</x:v>
      </x:c>
      <x:c r="F26" s="66" t="str">
        <x:v>Fluxos críticos operacionais</x:v>
      </x:c>
      <x:c r="G26" s="66" t="str">
        <x:v>A executar</x:v>
      </x:c>
      <x:c r="H26" s="66" t="str">
        <x:v>EVD-P10-004</x:v>
      </x:c>
      <x:c r="I26" s="65" t="str">
        <x:v>Crítica</x:v>
      </x:c>
      <x:c r="J26" s="65" t="str">
        <x:v>Pendente</x:v>
      </x:c>
    </x:row>
    <x:row r="27" ht="30" customHeight="1">
      <x:c r="A27" s="63" t="str">
        <x:v>HOM-P10-009</x:v>
      </x:c>
      <x:c r="B27" s="63" t="str">
        <x:v>P10</x:v>
      </x:c>
      <x:c r="C27" s="64" t="str">
        <x:v>Logs e jobs com falha</x:v>
      </x:c>
      <x:c r="D27" s="64" t="str">
        <x:v>Observabilidade</x:v>
      </x:c>
      <x:c r="E27" s="64" t="str">
        <x:v>Smoke test concluído</x:v>
      </x:c>
      <x:c r="F27" s="64" t="str">
        <x:v>Sem erro impeditivo ou segredo</x:v>
      </x:c>
      <x:c r="G27" s="64" t="str">
        <x:v>A executar</x:v>
      </x:c>
      <x:c r="H27" s="64" t="str">
        <x:v>EVD-P10-005</x:v>
      </x:c>
      <x:c r="I27" s="63" t="str">
        <x:v>Alta</x:v>
      </x:c>
      <x:c r="J27" s="63" t="str">
        <x:v>Pendente</x:v>
      </x:c>
    </x:row>
    <x:row r="28" ht="30" customHeight="1">
      <x:c r="A28" s="65" t="str">
        <x:v>HOM-P10-010</x:v>
      </x:c>
      <x:c r="B28" s="65" t="str">
        <x:v>P10</x:v>
      </x:c>
      <x:c r="C28" s="66" t="str">
        <x:v>Tag e release v3.0.0</x:v>
      </x:c>
      <x:c r="D28" s="66" t="str">
        <x:v>Configuração</x:v>
      </x:c>
      <x:c r="E28" s="66" t="str">
        <x:v>Deploy aprovado</x:v>
      </x:c>
      <x:c r="F28" s="66" t="str">
        <x:v>Tag no commit implantado</x:v>
      </x:c>
      <x:c r="G28" s="66" t="str">
        <x:v>A executar</x:v>
      </x:c>
      <x:c r="H28" s="66" t="str">
        <x:v>URL e SHA</x:v>
      </x:c>
      <x:c r="I28" s="65" t="str">
        <x:v>Crítica</x:v>
      </x:c>
      <x:c r="J28" s="65" t="str">
        <x:v>Pendente</x:v>
      </x:c>
    </x:row>
    <x:row r="29" ht="30" customHeight="1">
      <x:c r="A29" s="63" t="str">
        <x:v>HOM-P10-011</x:v>
      </x:c>
      <x:c r="B29" s="63" t="str">
        <x:v>P10</x:v>
      </x:c>
      <x:c r="C29" s="64" t="str">
        <x:v>Manifesto final</x:v>
      </x:c>
      <x:c r="D29" s="64" t="str">
        <x:v>Integridade</x:v>
      </x:c>
      <x:c r="E29" s="64" t="str">
        <x:v>Arquivos finais</x:v>
      </x:c>
      <x:c r="F29" s="64" t="str">
        <x:v>Hashes conferem</x:v>
      </x:c>
      <x:c r="G29" s="64" t="str">
        <x:v>A executar</x:v>
      </x:c>
      <x:c r="H29" s="64" t="str">
        <x:v>MANIFESTO-SHA256.txt</x:v>
      </x:c>
      <x:c r="I29" s="63" t="str">
        <x:v>Alta</x:v>
      </x:c>
      <x:c r="J29" s="63" t="str">
        <x:v>Pendente</x:v>
      </x:c>
    </x:row>
    <x:row r="30" ht="30" customHeight="1">
      <x:c r="A30" s="65" t="str">
        <x:v>HOM-P10-012</x:v>
      </x:c>
      <x:c r="B30" s="65" t="str">
        <x:v>P10</x:v>
      </x:c>
      <x:c r="C30" s="66" t="str">
        <x:v>Assinatura do encerramento</x:v>
      </x:c>
      <x:c r="D30" s="66" t="str">
        <x:v>Decisão</x:v>
      </x:c>
      <x:c r="E30" s="66" t="str">
        <x:v>Críticos aprovados</x:v>
      </x:c>
      <x:c r="F30" s="66" t="str">
        <x:v>Baseline congelada</x:v>
      </x:c>
      <x:c r="G30" s="66" t="str">
        <x:v>A executar</x:v>
      </x:c>
      <x:c r="H30" s="66" t="str">
        <x:v>Termo final</x:v>
      </x:c>
      <x:c r="I30" s="65" t="str">
        <x:v>Crítica</x:v>
      </x:c>
      <x:c r="J30" s="65" t="str">
        <x:v>Pendente</x:v>
      </x:c>
    </x:row>
    <x:row r="31" ht="30" customHeight="1">
      <x:c r="A31" s="63" t="str">
        <x:v>HOM-P10-013</x:v>
      </x:c>
      <x:c r="B31" s="63" t="str">
        <x:v>P10</x:v>
      </x:c>
      <x:c r="C31" s="64" t="str">
        <x:v>Identidade visual fora da release</x:v>
      </x:c>
      <x:c r="D31" s="64" t="str">
        <x:v>Escopo</x:v>
      </x:c>
      <x:c r="E31" s="64" t="str">
        <x:v>Release definida</x:v>
      </x:c>
      <x:c r="F31" s="64" t="str">
        <x:v>Visual atual preservado; BL4 registrada</x:v>
      </x:c>
      <x:c r="G31" s="64" t="str">
        <x:v>Decisão registrada</x:v>
      </x:c>
      <x:c r="H31" s="64" t="str">
        <x:v>README, changelog e termo</x:v>
      </x:c>
      <x:c r="I31" s="63" t="str">
        <x:v>Média</x:v>
      </x:c>
      <x:c r="J31" s="63" t="str">
        <x:v>Aprovado</x:v>
      </x:c>
    </x:row>
    <x:row r="32" ht="30" customHeight="1">
      <x:c r="A32" s="67" t="str">
        <x:v>HOM-P10-014</x:v>
      </x:c>
      <x:c r="B32" s="67" t="str">
        <x:v>P10</x:v>
      </x:c>
      <x:c r="C32" s="68" t="str">
        <x:v>Segredos ausentes do pacote</x:v>
      </x:c>
      <x:c r="D32" s="68" t="str">
        <x:v>Segurança</x:v>
      </x:c>
      <x:c r="E32" s="68" t="str">
        <x:v>Pacote montado</x:v>
      </x:c>
      <x:c r="F32" s="68" t="str">
        <x:v>Nenhum segredo ou log bruto</x:v>
      </x:c>
      <x:c r="G32" s="68" t="str">
        <x:v>A validar</x:v>
      </x:c>
      <x:c r="H32" s="68" t="str">
        <x:v>Varredura do pacote</x:v>
      </x:c>
      <x:c r="I32" s="67" t="str">
        <x:v>Crítica</x:v>
      </x:c>
      <x:c r="J32" s="67" t="str">
        <x:v>Pendente</x:v>
      </x:c>
    </x:row>
  </x:sheetData>
  <x:mergeCells>
    <x:mergeCell ref="A1:J2"/>
    <x:mergeCell ref="A3:J3"/>
  </x:mergeCells>
  <x:conditionalFormatting sqref="J7:J32">
    <x:cfRule type="containsText" dxfId="0" priority="1" operator="containsText" text="Aprovado"/>
    <x:cfRule type="containsText" dxfId="1" priority="2" operator="containsText" text="Pendente"/>
    <x:cfRule type="containsText" dxfId="2" priority="3" operator="containsText" text="Reprovado"/>
  </x:conditionalFormatting>
  <x:dataValidations count="1">
    <x:dataValidation type="list" sqref="J7:J32">
      <x:formula1>"Aprovado,Pendente,Reprovado,Bloqueado,Aprovado com ressalva"</x:formula1>
    </x:dataValidation>
  </x:dataValidations>
  <x:pageMargins left="0.7" right="0.7" top="0.75" bottom="0.75" header="0.3" footer="0.3"/>
</x:worksheet>
</file>