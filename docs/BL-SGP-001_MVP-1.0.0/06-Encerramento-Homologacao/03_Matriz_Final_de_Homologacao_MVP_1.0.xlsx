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a2f1bd471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bc0919dc534442d"/>
    <x:sheet xmlns:r="http://schemas.openxmlformats.org/officeDocument/2006/relationships" name="Casos HOM" sheetId="2" r:id="Rc2f8440bdd2a445c"/>
    <x:sheet xmlns:r="http://schemas.openxmlformats.org/officeDocument/2006/relationships" name="Evidências" sheetId="3" r:id="Ra8a64bfa6fbf45c2"/>
    <x:sheet xmlns:r="http://schemas.openxmlformats.org/officeDocument/2006/relationships" name="Ações Pós" sheetId="4" r:id="R51b18189c9304e1d"/>
    <x:sheet xmlns:r="http://schemas.openxmlformats.org/officeDocument/2006/relationships" name="Fontes" sheetId="5" r:id="R5a34d8044f53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dd/mm/yyyy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44D52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17673F"/>
      <x:name val="Carlito"/>
    </x:font>
    <x:font>
      <x:b/>
      <x:sz val="9"/>
      <x:color rgb="FF17673F"/>
      <x:name val="Carlito"/>
    </x:font>
    <x:font>
      <x:i/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4D52"/>
      </x:patternFill>
    </x:fill>
    <x:fill>
      <x:patternFill patternType="solid">
        <x:fgColor rgb="FFE8F1F2"/>
      </x:patternFill>
    </x:fill>
    <x:fill>
      <x:patternFill patternType="solid">
        <x:fgColor rgb="FF11666D"/>
      </x:patternFill>
    </x:fill>
    <x:fill>
      <x:patternFill patternType="solid">
        <x:fgColor rgb="FFF2F4F7"/>
      </x:patternFill>
    </x:fill>
    <x:fill>
      <x:patternFill patternType="solid">
        <x:fgColor rgb="FFE8F5EE"/>
      </x:patternFill>
    </x:fill>
    <x:fill>
      <x:patternFill patternType="solid">
        <x:fgColor rgb="FFFFF7E0"/>
      </x:patternFill>
    </x:fill>
  </x:fills>
  <x:borders count="10">
    <x:border/>
    <x:border>
      <x:left style="thin">
        <x:color rgb="FFD5DADF"/>
      </x:left>
      <x:right style="thin">
        <x:color rgb="FFD5DADF"/>
      </x:right>
      <x:top style="thin">
        <x:color rgb="FFD5DADF"/>
      </x:top>
      <x:bottom style="thin">
        <x:color rgb="FFD5DADF"/>
      </x:bottom>
    </x:border>
    <x:border>
      <x:bottom style="thin">
        <x:color rgb="FFD5DADF"/>
      </x:bottom>
    </x:border>
    <x:border>
      <x:top style="thin">
        <x:color rgb="FFD5DADF"/>
      </x:top>
      <x:bottom style="thin">
        <x:color rgb="FFD5DADF"/>
      </x:bottom>
    </x:border>
    <x:border>
      <x:left style="thin">
        <x:color rgb="FF17673F"/>
      </x:left>
      <x:top style="thin">
        <x:color rgb="FF17673F"/>
      </x:top>
      <x:bottom style="thin">
        <x:color rgb="FF17673F"/>
      </x:bottom>
    </x:border>
    <x:border>
      <x:top style="thin">
        <x:color rgb="FF17673F"/>
      </x:top>
      <x:bottom style="thin">
        <x:color rgb="FF17673F"/>
      </x:bottom>
    </x:border>
    <x:border>
      <x:right style="thin">
        <x:color rgb="FF17673F"/>
      </x:right>
      <x:top style="thin">
        <x:color rgb="FF17673F"/>
      </x:top>
      <x:bottom style="thin">
        <x:color rgb="FF17673F"/>
      </x:bottom>
    </x:border>
    <x:border>
      <x:left style="thin">
        <x:color rgb="FFD6B85A"/>
      </x:left>
      <x:top style="thin">
        <x:color rgb="FFD6B85A"/>
      </x:top>
      <x:bottom style="thin">
        <x:color rgb="FFD6B85A"/>
      </x:bottom>
    </x:border>
    <x:border>
      <x:top style="thin">
        <x:color rgb="FFD6B85A"/>
      </x:top>
      <x:bottom style="thin">
        <x:color rgb="FFD6B85A"/>
      </x:bottom>
    </x:border>
    <x:border>
      <x:right style="thin">
        <x:color rgb="FFD6B85A"/>
      </x:right>
      <x:top style="thin">
        <x:color rgb="FFD6B85A"/>
      </x:top>
      <x:bottom style="thin">
        <x:color rgb="FFD6B85A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horizontal="center" vertical="center" wrapText="1"/>
    </x:xf>
    <x:xf numFmtId="202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7673F"/>
      </x:font>
      <x:fill>
        <x:patternFill patternType="solid">
          <x:bgColor rgb="FFE8F5EE"/>
        </x:patternFill>
      </x:fill>
    </x:dxf>
    <x:dxf>
      <x:font>
        <x:b/>
        <x:color rgb="FF1F2937"/>
      </x:font>
      <x:fill>
        <x:patternFill patternType="solid">
          <x:bgColor rgb="FFFFF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abb8a4a8a497b" /><Relationship Type="http://schemas.openxmlformats.org/officeDocument/2006/relationships/theme" Target="/xl/theme/theme1.xml" Id="Rb67195091954411b" /><Relationship Type="http://schemas.openxmlformats.org/officeDocument/2006/relationships/sharedStrings" Target="/xl/sharedStrings.xml" Id="R7dbee12ece2d4c32" /><Relationship Type="http://schemas.openxmlformats.org/officeDocument/2006/relationships/worksheet" Target="/xl/worksheets/sheet1.xml" Id="R1bc0919dc534442d" /><Relationship Type="http://schemas.openxmlformats.org/officeDocument/2006/relationships/worksheet" Target="/xl/worksheets/sheet2.xml" Id="Rc2f8440bdd2a445c" /><Relationship Type="http://schemas.openxmlformats.org/officeDocument/2006/relationships/worksheet" Target="/xl/worksheets/sheet3.xml" Id="Ra8a64bfa6fbf45c2" /><Relationship Type="http://schemas.openxmlformats.org/officeDocument/2006/relationships/worksheet" Target="/xl/worksheets/sheet4.xml" Id="R51b18189c9304e1d" /><Relationship Type="http://schemas.openxmlformats.org/officeDocument/2006/relationships/worksheet" Target="/xl/worksheets/sheet5.xml" Id="R5a34d8044f534a63" /></Relationships>
</file>

<file path=xl/tables/table1.xml><?xml version="1.0" encoding="utf-8"?>
<x:table xmlns:x="http://schemas.openxmlformats.org/spreadsheetml/2006/main" id="1" name="CasosHomologacao" displayName="CasosHomologacao" ref="A1:I36" headerRowCount="1" totalsRowCount="0" totalsRowShown="0">
  <x:tableColumns count="9">
    <x:tableColumn id="1" name="ID"/>
    <x:tableColumn id="2" name="Área"/>
    <x:tableColumn id="3" name="Procedimento"/>
    <x:tableColumn id="4" name="Resultado esperado"/>
    <x:tableColumn id="5" name="Resultado obtido"/>
    <x:tableColumn id="6" name="Evidência"/>
    <x:tableColumn id="7" name="Status"/>
    <x:tableColumn id="8" name="Data"/>
    <x:tableColumn id="9" name="Responsá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iceEvidencias" displayName="IndiceEvidencias" ref="A1:E8" headerRowCount="1" totalsRowCount="0" totalsRowShown="0">
  <x:tableColumns count="5">
    <x:tableColumn id="1" name="Código"/>
    <x:tableColumn id="2" name="Arquivo ou registro"/>
    <x:tableColumn id="3" name="Descrição"/>
    <x:tableColumn id="4" name="Caso relacionado"/>
    <x:tableColumn id="5" name="Tip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oesPosHomologacao" displayName="AcoesPosHomologacao" ref="A1:E6" headerRowCount="1" totalsRowCount="0" totalsRowShown="0">
  <x:tableColumns count="5">
    <x:tableColumn id="1" name="Ação"/>
    <x:tableColumn id="2" name="Classificação"/>
    <x:tableColumn id="3" name="Bloqueia encerramento?"/>
    <x:tableColumn id="4" name="Responsável"/>
    <x:tableColumn id="5" name="Situ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ntesHomologacao" displayName="FontesHomologacao" ref="A1:D7" headerRowCount="1" totalsRowCount="0" totalsRowShown="0">
  <x:tableColumns count="4">
    <x:tableColumn id="1" name="Fonte"/>
    <x:tableColumn id="2" name="Arquivo ou referência"/>
    <x:tableColumn id="3" name="Seção usada"/>
    <x:tableColumn id="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2d14cdaed4b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77978c56f4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5475699dd645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5b0672555e49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3" hidden="0" customWidth="1"/>
    <x:col min="4" max="4" width="24" hidden="0" customWidth="1"/>
    <x:col min="5" max="5" width="14" hidden="0" customWidth="1"/>
    <x:col min="6" max="6" width="18" hidden="0" customWidth="1"/>
  </x:cols>
  <x:sheetData>
    <x:row r="1" ht="34" customHeight="1">
      <x:c r="A1" s="4" t="str">
        <x:v>Matriz Final de Homologação | MVP 1.0</x:v>
      </x:c>
      <x:c r="B1" s="4"/>
      <x:c r="C1" s="4"/>
      <x:c r="D1" s="4"/>
      <x:c r="E1" s="4"/>
      <x:c r="F1" s="4"/>
    </x:row>
    <x:row r="2" ht="24" customHeight="1">
      <x:c r="A2" s="7" t="str">
        <x:v>BL-SGP-001 | Encerramento formal em 28/07/2026</x:v>
      </x:c>
      <x:c r="B2" s="7"/>
      <x:c r="C2" s="7"/>
      <x:c r="D2" s="7"/>
      <x:c r="E2" s="7"/>
      <x:c r="F2" s="7"/>
    </x:row>
    <x:row r="4" ht="30" customHeight="1">
      <x:c r="A4" s="13" t="str">
        <x:v>Campo</x:v>
      </x:c>
      <x:c r="B4" s="13" t="str">
        <x:v>Informação</x:v>
      </x:c>
      <x:c r="D4" s="13" t="str">
        <x:v>Indicador</x:v>
      </x:c>
      <x:c r="E4" s="13" t="str">
        <x:v>Valor</x:v>
      </x:c>
      <x:c r="F4" s="13" t="str">
        <x:v>Situação</x:v>
      </x:c>
    </x:row>
    <x:row r="5">
      <x:c r="A5" s="23" t="str">
        <x:v>Sistema</x:v>
      </x:c>
      <x:c r="B5" s="19" t="str">
        <x:v>SGP - Sistema de Gestão de Projetos de Software</x:v>
      </x:c>
      <x:c r="D5" s="19" t="str">
        <x:v>Testes automatizados</x:v>
      </x:c>
      <x:c r="E5" s="30" t="n">
        <x:v>95</x:v>
      </x:c>
      <x:c r="F5" s="37" t="str">
        <x:v>Aprovado</x:v>
      </x:c>
    </x:row>
    <x:row r="6">
      <x:c r="A6" s="24" t="str">
        <x:v>Baseline</x:v>
      </x:c>
      <x:c r="B6" s="20" t="str">
        <x:v>BL-SGP-001</x:v>
      </x:c>
      <x:c r="D6" s="20" t="str">
        <x:v>Asserções</x:v>
      </x:c>
      <x:c r="E6" s="32" t="n">
        <x:v>337</x:v>
      </x:c>
      <x:c r="F6" s="38" t="str">
        <x:v>Aprovado</x:v>
      </x:c>
    </x:row>
    <x:row r="7">
      <x:c r="A7" s="24" t="str">
        <x:v>Revisão suplementar</x:v>
      </x:c>
      <x:c r="B7" s="20" t="str">
        <x:v>1.0.3</x:v>
      </x:c>
      <x:c r="D7" s="20" t="str">
        <x:v>Casos HOM</x:v>
      </x:c>
      <x:c r="E7" s="32" t="n">
        <x:v>35</x:v>
      </x:c>
      <x:c r="F7" s="38" t="str">
        <x:v>Executado</x:v>
      </x:c>
    </x:row>
    <x:row r="8">
      <x:c r="A8" s="24" t="str">
        <x:v>Marco</x:v>
      </x:c>
      <x:c r="B8" s="20" t="str">
        <x:v>MVP 1.0</x:v>
      </x:c>
      <x:c r="D8" s="20" t="str">
        <x:v>Aprovados</x:v>
      </x:c>
      <x:c r="E8" s="32" t="n">
        <x:f>COUNTIF('Casos HOM'!$G$2:$G$36,"Aprovado")</x:f>
        <x:v>35</x:v>
      </x:c>
      <x:c r="F8" s="38" t="str">
        <x:v>Aprovado</x:v>
      </x:c>
    </x:row>
    <x:row r="9">
      <x:c r="A9" s="24" t="str">
        <x:v>Commit implantado</x:v>
      </x:c>
      <x:c r="B9" s="20" t="str">
        <x:v>16a3e37</x:v>
      </x:c>
      <x:c r="D9" s="20" t="str">
        <x:v>Reprovados</x:v>
      </x:c>
      <x:c r="E9" s="32" t="n">
        <x:f>COUNTIF('Casos HOM'!$G$2:$G$36,"Reprovado")</x:f>
        <x:v>0</x:v>
      </x:c>
      <x:c r="F9" s="38" t="str">
        <x:v>Nenhum</x:v>
      </x:c>
    </x:row>
    <x:row r="10">
      <x:c r="A10" s="24" t="str">
        <x:v>Ambiente</x:v>
      </x:c>
      <x:c r="B10" s="20" t="str">
        <x:v>Produção no Laravel Cloud</x:v>
      </x:c>
      <x:c r="D10" s="20" t="str">
        <x:v>Taxa de aprovação</x:v>
      </x:c>
      <x:c r="E10" s="34" t="n">
        <x:f>E8/E7</x:f>
        <x:v>1</x:v>
      </x:c>
      <x:c r="F10" s="38" t="str">
        <x:v>Aprovado</x:v>
      </x:c>
    </x:row>
    <x:row r="11">
      <x:c r="A11" s="24" t="str">
        <x:v>Responsável</x:v>
      </x:c>
      <x:c r="B11" s="20" t="str">
        <x:v>Liliane de Freitas Terra Vieira</x:v>
      </x:c>
    </x:row>
    <x:row r="12" ht="42" customHeight="1">
      <x:c r="A12" s="24" t="str">
        <x:v>Resultado geral</x:v>
      </x:c>
      <x:c r="B12" s="26" t="str">
        <x:v>Homologado e aprovado sem ressalvas</x:v>
      </x:c>
      <x:c r="D12" s="47" t="str">
        <x:v>Decisão: 35 de 35 casos aprovados. Nenhuma falha impeditiva, crítica ou alta em aberto.</x:v>
      </x:c>
      <x:c r="E12" s="48"/>
      <x:c r="F12" s="49"/>
    </x:row>
    <x:row r="14" ht="44" customHeight="1">
      <x:c r="A14" s="58" t="str">
        <x:v>Governança de versão: a tag histórica v1.0.0 permanece no commit a5bc837. Recomenda-se associar o commit homologado 16a3e37 à correção operacional v1.0.1.</x:v>
      </x:c>
      <x:c r="B14" s="59"/>
      <x:c r="C14" s="59"/>
      <x:c r="D14" s="59"/>
      <x:c r="E14" s="59"/>
      <x:c r="F14" s="60"/>
    </x:row>
  </x:sheetData>
  <x:mergeCells>
    <x:mergeCell ref="A1:F1"/>
    <x:mergeCell ref="A2:F2"/>
    <x:mergeCell ref="D12:F1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40" hidden="0" customWidth="1"/>
    <x:col min="5" max="5" width="44" hidden="0" customWidth="1"/>
    <x:col min="6" max="6" width="24" hidden="0" customWidth="1"/>
    <x:col min="7" max="7" width="14" hidden="0" customWidth="1"/>
    <x:col min="8" max="8" width="14" hidden="0" customWidth="1"/>
    <x:col min="9" max="9" width="32" hidden="0" customWidth="1"/>
  </x:cols>
  <x:sheetData>
    <x:row r="1" ht="30" customHeight="1">
      <x:c r="A1" s="13" t="str">
        <x:v>ID</x:v>
      </x:c>
      <x:c r="B1" s="13" t="str">
        <x:v>Área</x:v>
      </x:c>
      <x:c r="C1" s="13" t="str">
        <x:v>Procedimento</x:v>
      </x:c>
      <x:c r="D1" s="13" t="str">
        <x:v>Resultado esperado</x:v>
      </x:c>
      <x:c r="E1" s="13" t="str">
        <x:v>Resultado obtido</x:v>
      </x:c>
      <x:c r="F1" s="13" t="str">
        <x:v>Evidência</x:v>
      </x:c>
      <x:c r="G1" s="13" t="str">
        <x:v>Status</x:v>
      </x:c>
      <x:c r="H1" s="13" t="str">
        <x:v>Data</x:v>
      </x:c>
      <x:c r="I1" s="13" t="str">
        <x:v>Responsável</x:v>
      </x:c>
    </x:row>
    <x:row r="2">
      <x:c r="A2" s="31" t="str">
        <x:v>HOM-001</x:v>
      </x:c>
      <x:c r="B2" s="19" t="str">
        <x:v>Instalação limpa</x:v>
      </x:c>
      <x:c r="C2" s="19" t="str">
        <x:v>Executar instalação em PostgreSQL vazio.</x:v>
      </x:c>
      <x:c r="D2" s="19" t="str">
        <x:v>Migrations e seeders concluem sem erro.</x:v>
      </x:c>
      <x:c r="E2" s="19" t="str">
        <x:v>Instalação e migrations concluídas no PostgreSQL do ambiente publicado.</x:v>
      </x:c>
      <x:c r="F2" s="19" t="str">
        <x:v>EV-HOM-GERAL-001</x:v>
      </x:c>
      <x:c r="G2" s="31" t="str">
        <x:v>Aprovado</x:v>
      </x:c>
      <x:c r="H2" s="61" t="n">
        <x:v>46231.5</x:v>
      </x:c>
      <x:c r="I2" s="19" t="str">
        <x:v>Liliane de Freitas Terra Vieira</x:v>
      </x:c>
    </x:row>
    <x:row r="3">
      <x:c r="A3" s="33" t="str">
        <x:v>HOM-002</x:v>
      </x:c>
      <x:c r="B3" s="20" t="str">
        <x:v>Testes automatizados</x:v>
      </x:c>
      <x:c r="C3" s="20" t="str">
        <x:v>Executar a suíte automatizada.</x:v>
      </x:c>
      <x:c r="D3" s="20" t="str">
        <x:v>Suíte integralmente aprovada.</x:v>
      </x:c>
      <x:c r="E3" s="20" t="str">
        <x:v>95 testes e 337 asserções aprovados, superando a referência inicial de 93 casos.</x:v>
      </x:c>
      <x:c r="F3" s="20" t="str">
        <x:v>EV-AUTO-001</x:v>
      </x:c>
      <x:c r="G3" s="33" t="str">
        <x:v>Aprovado</x:v>
      </x:c>
      <x:c r="H3" s="62" t="n">
        <x:v>46231.5</x:v>
      </x:c>
      <x:c r="I3" s="20" t="str">
        <x:v>Liliane de Freitas Terra Vieira</x:v>
      </x:c>
    </x:row>
    <x:row r="4">
      <x:c r="A4" s="33" t="str">
        <x:v>HOM-003</x:v>
      </x:c>
      <x:c r="B4" s="20" t="str">
        <x:v>Página inicial</x:v>
      </x:c>
      <x:c r="C4" s="20" t="str">
        <x:v>Acessar a raiz sem autenticação.</x:v>
      </x:c>
      <x:c r="D4" s="20" t="str">
        <x:v>Marca SGP, favicon, textos e botão de acesso.</x:v>
      </x:c>
      <x:c r="E4" s="20" t="str">
        <x:v>Identidade pública e acesso exibidos corretamente.</x:v>
      </x:c>
      <x:c r="F4" s="20" t="str">
        <x:v>EV-HOM-GERAL-001</x:v>
      </x:c>
      <x:c r="G4" s="33" t="str">
        <x:v>Aprovado</x:v>
      </x:c>
      <x:c r="H4" s="62" t="n">
        <x:v>46231.5</x:v>
      </x:c>
      <x:c r="I4" s="20" t="str">
        <x:v>Liliane de Freitas Terra Vieira</x:v>
      </x:c>
    </x:row>
    <x:row r="5">
      <x:c r="A5" s="33" t="str">
        <x:v>HOM-004</x:v>
      </x:c>
      <x:c r="B5" s="20" t="str">
        <x:v>Login válido</x:v>
      </x:c>
      <x:c r="C5" s="20" t="str">
        <x:v>Entrar com usuário ativo.</x:v>
      </x:c>
      <x:c r="D5" s="20" t="str">
        <x:v>Redireciona ao Dashboard.</x:v>
      </x:c>
      <x:c r="E5" s="20" t="str">
        <x:v>Autenticação válida e painel carregado.</x:v>
      </x:c>
      <x:c r="F5" s="20" t="str">
        <x:v>EV-HOM-035-004</x:v>
      </x:c>
      <x:c r="G5" s="33" t="str">
        <x:v>Aprovado</x:v>
      </x:c>
      <x:c r="H5" s="62" t="n">
        <x:v>46231.5</x:v>
      </x:c>
      <x:c r="I5" s="20" t="str">
        <x:v>Liliane de Freitas Terra Vieira</x:v>
      </x:c>
    </x:row>
    <x:row r="6">
      <x:c r="A6" s="33" t="str">
        <x:v>HOM-005</x:v>
      </x:c>
      <x:c r="B6" s="20" t="str">
        <x:v>Login inválido</x:v>
      </x:c>
      <x:c r="C6" s="20" t="str">
        <x:v>Usar senha incorreta e usuário inativo.</x:v>
      </x:c>
      <x:c r="D6" s="20" t="str">
        <x:v>Acesso negado.</x:v>
      </x:c>
      <x:c r="E6" s="20" t="str">
        <x:v>Tentativas inválidas e conta inativa foram bloqueadas.</x:v>
      </x:c>
      <x:c r="F6" s="20" t="str">
        <x:v>EV-HOM-GERAL-001</x:v>
      </x:c>
      <x:c r="G6" s="33" t="str">
        <x:v>Aprovado</x:v>
      </x:c>
      <x:c r="H6" s="62" t="n">
        <x:v>46231.5</x:v>
      </x:c>
      <x:c r="I6" s="20" t="str">
        <x:v>Liliane de Freitas Terra Vieira</x:v>
      </x:c>
    </x:row>
    <x:row r="7">
      <x:c r="A7" s="33" t="str">
        <x:v>HOM-006</x:v>
      </x:c>
      <x:c r="B7" s="20" t="str">
        <x:v>Perfil</x:v>
      </x:c>
      <x:c r="C7" s="20" t="str">
        <x:v>Alterar nome, e-mail e senha.</x:v>
      </x:c>
      <x:c r="D7" s="20" t="str">
        <x:v>Dados salvos; não existe exclusão de conta.</x:v>
      </x:c>
      <x:c r="E7" s="20" t="str">
        <x:v>Alterações persistidas e exclusão de conta indisponível.</x:v>
      </x:c>
      <x:c r="F7" s="20" t="str">
        <x:v>EV-HOM-GERAL-001</x:v>
      </x:c>
      <x:c r="G7" s="33" t="str">
        <x:v>Aprovado</x:v>
      </x:c>
      <x:c r="H7" s="62" t="n">
        <x:v>46231.5</x:v>
      </x:c>
      <x:c r="I7" s="20" t="str">
        <x:v>Liliane de Freitas Terra Vieira</x:v>
      </x:c>
    </x:row>
    <x:row r="8">
      <x:c r="A8" s="33" t="str">
        <x:v>HOM-007</x:v>
      </x:c>
      <x:c r="B8" s="20" t="str">
        <x:v>Usuários</x:v>
      </x:c>
      <x:c r="C8" s="20" t="str">
        <x:v>Cadastrar, editar e desativar.</x:v>
      </x:c>
      <x:c r="D8" s="20" t="str">
        <x:v>Conta permanece no banco e perde acesso.</x:v>
      </x:c>
      <x:c r="E8" s="20" t="str">
        <x:v>Ciclo administrativo aprovado, com preservação histórica.</x:v>
      </x:c>
      <x:c r="F8" s="20" t="str">
        <x:v>EV-HOM-GERAL-001</x:v>
      </x:c>
      <x:c r="G8" s="33" t="str">
        <x:v>Aprovado</x:v>
      </x:c>
      <x:c r="H8" s="62" t="n">
        <x:v>46231.5</x:v>
      </x:c>
      <x:c r="I8" s="20" t="str">
        <x:v>Liliane de Freitas Terra Vieira</x:v>
      </x:c>
    </x:row>
    <x:row r="9">
      <x:c r="A9" s="33" t="str">
        <x:v>HOM-008</x:v>
      </x:c>
      <x:c r="B9" s="20" t="str">
        <x:v>Clientes</x:v>
      </x:c>
      <x:c r="C9" s="20" t="str">
        <x:v>Cadastrar, filtrar, editar e desativar.</x:v>
      </x:c>
      <x:c r="D9" s="20" t="str">
        <x:v>Operações e preservação histórica corretas.</x:v>
      </x:c>
      <x:c r="E9" s="20" t="str">
        <x:v>Cadastro, filtros, edição e desativação aprovados.</x:v>
      </x:c>
      <x:c r="F9" s="20" t="str">
        <x:v>EV-HOM-GERAL-001</x:v>
      </x:c>
      <x:c r="G9" s="33" t="str">
        <x:v>Aprovado</x:v>
      </x:c>
      <x:c r="H9" s="62" t="n">
        <x:v>46231.5</x:v>
      </x:c>
      <x:c r="I9" s="20" t="str">
        <x:v>Liliane de Freitas Terra Vieira</x:v>
      </x:c>
    </x:row>
    <x:row r="10">
      <x:c r="A10" s="33" t="str">
        <x:v>HOM-009</x:v>
      </x:c>
      <x:c r="B10" s="20" t="str">
        <x:v>Projeto</x:v>
      </x:c>
      <x:c r="C10" s="20" t="str">
        <x:v>Cadastrar com cliente e responsável.</x:v>
      </x:c>
      <x:c r="D10" s="20" t="str">
        <x:v>Código PRJ gerado e projeto exibido.</x:v>
      </x:c>
      <x:c r="E10" s="20" t="str">
        <x:v>Projeto criado, identificado e exibido corretamente.</x:v>
      </x:c>
      <x:c r="F10" s="20" t="str">
        <x:v>EV-HOM-GERAL-001</x:v>
      </x:c>
      <x:c r="G10" s="33" t="str">
        <x:v>Aprovado</x:v>
      </x:c>
      <x:c r="H10" s="62" t="n">
        <x:v>46231.5</x:v>
      </x:c>
      <x:c r="I10" s="20" t="str">
        <x:v>Liliane de Freitas Terra Vieira</x:v>
      </x:c>
    </x:row>
    <x:row r="11">
      <x:c r="A11" s="33" t="str">
        <x:v>HOM-010</x:v>
      </x:c>
      <x:c r="B11" s="20" t="str">
        <x:v>Equipe</x:v>
      </x:c>
      <x:c r="C11" s="20" t="str">
        <x:v>Adicionar papéis múltiplos e encerrar vínculo.</x:v>
      </x:c>
      <x:c r="D11" s="20" t="str">
        <x:v>Permissões e período preservados.</x:v>
      </x:c>
      <x:c r="E11" s="20" t="str">
        <x:v>Papéis e encerramento de participação aprovados.</x:v>
      </x:c>
      <x:c r="F11" s="20" t="str">
        <x:v>EV-HOM-GERAL-001</x:v>
      </x:c>
      <x:c r="G11" s="33" t="str">
        <x:v>Aprovado</x:v>
      </x:c>
      <x:c r="H11" s="62" t="n">
        <x:v>46231.5</x:v>
      </x:c>
      <x:c r="I11" s="20" t="str">
        <x:v>Liliane de Freitas Terra Vieira</x:v>
      </x:c>
    </x:row>
    <x:row r="12">
      <x:c r="A12" s="33" t="str">
        <x:v>HOM-011</x:v>
      </x:c>
      <x:c r="B12" s="20" t="str">
        <x:v>Isolamento</x:v>
      </x:c>
      <x:c r="C12" s="20" t="str">
        <x:v>Tentar URL de projeto sem participação.</x:v>
      </x:c>
      <x:c r="D12" s="20" t="str">
        <x:v>Acesso bloqueado.</x:v>
      </x:c>
      <x:c r="E12" s="20" t="str">
        <x:v>Acesso sem participação foi bloqueado.</x:v>
      </x:c>
      <x:c r="F12" s="20" t="str">
        <x:v>EV-HOM-GERAL-001</x:v>
      </x:c>
      <x:c r="G12" s="33" t="str">
        <x:v>Aprovado</x:v>
      </x:c>
      <x:c r="H12" s="62" t="n">
        <x:v>46231.5</x:v>
      </x:c>
      <x:c r="I12" s="20" t="str">
        <x:v>Liliane de Freitas Terra Vieira</x:v>
      </x:c>
    </x:row>
    <x:row r="13">
      <x:c r="A13" s="33" t="str">
        <x:v>HOM-012</x:v>
      </x:c>
      <x:c r="B13" s="20" t="str">
        <x:v>Requisito</x:v>
      </x:c>
      <x:c r="C13" s="20" t="str">
        <x:v>Cadastrar e editar requisito.</x:v>
      </x:c>
      <x:c r="D13" s="20" t="str">
        <x:v>Código, versão e histórico corretos.</x:v>
      </x:c>
      <x:c r="E13" s="20" t="str">
        <x:v>Versionamento e histórico do requisito aprovados.</x:v>
      </x:c>
      <x:c r="F13" s="20" t="str">
        <x:v>EV-HOM-GERAL-001</x:v>
      </x:c>
      <x:c r="G13" s="33" t="str">
        <x:v>Aprovado</x:v>
      </x:c>
      <x:c r="H13" s="62" t="n">
        <x:v>46231.5</x:v>
      </x:c>
      <x:c r="I13" s="20" t="str">
        <x:v>Liliane de Freitas Terra Vieira</x:v>
      </x:c>
    </x:row>
    <x:row r="14">
      <x:c r="A14" s="33" t="str">
        <x:v>HOM-013</x:v>
      </x:c>
      <x:c r="B14" s="20" t="str">
        <x:v>Filtros de requisitos</x:v>
      </x:c>
      <x:c r="C14" s="20" t="str">
        <x:v>Aplicar pesquisa, situação, tipo e prioridade.</x:v>
      </x:c>
      <x:c r="D14" s="20" t="str">
        <x:v>Lista coerente.</x:v>
      </x:c>
      <x:c r="E14" s="20" t="str">
        <x:v>Filtros retornaram conjuntos coerentes.</x:v>
      </x:c>
      <x:c r="F14" s="20" t="str">
        <x:v>EV-HOM-GERAL-001</x:v>
      </x:c>
      <x:c r="G14" s="33" t="str">
        <x:v>Aprovado</x:v>
      </x:c>
      <x:c r="H14" s="62" t="n">
        <x:v>46231.5</x:v>
      </x:c>
      <x:c r="I14" s="20" t="str">
        <x:v>Liliane de Freitas Terra Vieira</x:v>
      </x:c>
    </x:row>
    <x:row r="15">
      <x:c r="A15" s="33" t="str">
        <x:v>HOM-014</x:v>
      </x:c>
      <x:c r="B15" s="20" t="str">
        <x:v>Tarefa</x:v>
      </x:c>
      <x:c r="C15" s="20" t="str">
        <x:v>Cadastrar tarefa com e sem requisito.</x:v>
      </x:c>
      <x:c r="D15" s="20" t="str">
        <x:v>Códigos e vínculos corretos.</x:v>
      </x:c>
      <x:c r="E15" s="20" t="str">
        <x:v>Tarefas e vínculos foram criados corretamente.</x:v>
      </x:c>
      <x:c r="F15" s="20" t="str">
        <x:v>EV-HOM-GERAL-001</x:v>
      </x:c>
      <x:c r="G15" s="33" t="str">
        <x:v>Aprovado</x:v>
      </x:c>
      <x:c r="H15" s="62" t="n">
        <x:v>46231.5</x:v>
      </x:c>
      <x:c r="I15" s="20" t="str">
        <x:v>Liliane de Freitas Terra Vieira</x:v>
      </x:c>
    </x:row>
    <x:row r="16">
      <x:c r="A16" s="33" t="str">
        <x:v>HOM-015</x:v>
      </x:c>
      <x:c r="B16" s="20" t="str">
        <x:v>Datas de tarefa</x:v>
      </x:c>
      <x:c r="C16" s="20" t="str">
        <x:v>Informar prazo anterior ao início.</x:v>
      </x:c>
      <x:c r="D16" s="20" t="str">
        <x:v>Validação rejeita.</x:v>
      </x:c>
      <x:c r="E16" s="20" t="str">
        <x:v>Intervalo inválido rejeitado.</x:v>
      </x:c>
      <x:c r="F16" s="20" t="str">
        <x:v>EV-HOM-GERAL-001</x:v>
      </x:c>
      <x:c r="G16" s="33" t="str">
        <x:v>Aprovado</x:v>
      </x:c>
      <x:c r="H16" s="62" t="n">
        <x:v>46231.5</x:v>
      </x:c>
      <x:c r="I16" s="20" t="str">
        <x:v>Liliane de Freitas Terra Vieira</x:v>
      </x:c>
    </x:row>
    <x:row r="17">
      <x:c r="A17" s="33" t="str">
        <x:v>HOM-016</x:v>
      </x:c>
      <x:c r="B17" s="20" t="str">
        <x:v>Subtarefa</x:v>
      </x:c>
      <x:c r="C17" s="20" t="str">
        <x:v>Criar subtarefa válida e tentar referência inválida.</x:v>
      </x:c>
      <x:c r="D17" s="20" t="str">
        <x:v>Somente vínculo válido é aceito.</x:v>
      </x:c>
      <x:c r="E17" s="20" t="str">
        <x:v>Vínculo válido aceito e referência inválida bloqueada.</x:v>
      </x:c>
      <x:c r="F17" s="20" t="str">
        <x:v>EV-HOM-GERAL-001</x:v>
      </x:c>
      <x:c r="G17" s="33" t="str">
        <x:v>Aprovado</x:v>
      </x:c>
      <x:c r="H17" s="62" t="n">
        <x:v>46231.5</x:v>
      </x:c>
      <x:c r="I17" s="20" t="str">
        <x:v>Liliane de Freitas Terra Vieira</x:v>
      </x:c>
    </x:row>
    <x:row r="18">
      <x:c r="A18" s="33" t="str">
        <x:v>HOM-017</x:v>
      </x:c>
      <x:c r="B18" s="20" t="str">
        <x:v>Kanban</x:v>
      </x:c>
      <x:c r="C18" s="20" t="str">
        <x:v>Mover tarefa entre etapas.</x:v>
      </x:c>
      <x:c r="D18" s="20" t="str">
        <x:v>Status, posição, conclusão e histórico atualizados.</x:v>
      </x:c>
      <x:c r="E18" s="20" t="str">
        <x:v>Movimentação e histórico aprovados.</x:v>
      </x:c>
      <x:c r="F18" s="20" t="str">
        <x:v>EV-HOM-GERAL-001</x:v>
      </x:c>
      <x:c r="G18" s="33" t="str">
        <x:v>Aprovado</x:v>
      </x:c>
      <x:c r="H18" s="62" t="n">
        <x:v>46231.5</x:v>
      </x:c>
      <x:c r="I18" s="20" t="str">
        <x:v>Liliane de Freitas Terra Vieira</x:v>
      </x:c>
    </x:row>
    <x:row r="19">
      <x:c r="A19" s="33" t="str">
        <x:v>HOM-018</x:v>
      </x:c>
      <x:c r="B19" s="20" t="str">
        <x:v>Configurar Kanban</x:v>
      </x:c>
      <x:c r="C19" s="20" t="str">
        <x:v>Alterar nome e ordem com gerente e observador.</x:v>
      </x:c>
      <x:c r="D19" s="20" t="str">
        <x:v>Gerente altera; observador não.</x:v>
      </x:c>
      <x:c r="E19" s="20" t="str">
        <x:v>Permissões de configuração respeitadas.</x:v>
      </x:c>
      <x:c r="F19" s="20" t="str">
        <x:v>EV-HOM-GERAL-001</x:v>
      </x:c>
      <x:c r="G19" s="33" t="str">
        <x:v>Aprovado</x:v>
      </x:c>
      <x:c r="H19" s="62" t="n">
        <x:v>46231.5</x:v>
      </x:c>
      <x:c r="I19" s="20" t="str">
        <x:v>Liliane de Freitas Terra Vieira</x:v>
      </x:c>
    </x:row>
    <x:row r="20">
      <x:c r="A20" s="33" t="str">
        <x:v>HOM-019</x:v>
      </x:c>
      <x:c r="B20" s="20" t="str">
        <x:v>Documento de Visão</x:v>
      </x:c>
      <x:c r="C20" s="20" t="str">
        <x:v>Preencher informações e gerar DOCX/PDF.</x:v>
      </x:c>
      <x:c r="D20" s="20" t="str">
        <x:v>Capa, conteúdo, rodapé e downloads corretos.</x:v>
      </x:c>
      <x:c r="E20" s="20" t="str">
        <x:v>Geração em DOCX e PDF aprovada.</x:v>
      </x:c>
      <x:c r="F20" s="20" t="str">
        <x:v>EV-HOM-GERAL-001</x:v>
      </x:c>
      <x:c r="G20" s="33" t="str">
        <x:v>Aprovado</x:v>
      </x:c>
      <x:c r="H20" s="62" t="n">
        <x:v>46231.5</x:v>
      </x:c>
      <x:c r="I20" s="20" t="str">
        <x:v>Liliane de Freitas Terra Vieira</x:v>
      </x:c>
    </x:row>
    <x:row r="21">
      <x:c r="A21" s="33" t="str">
        <x:v>HOM-020</x:v>
      </x:c>
      <x:c r="B21" s="20" t="str">
        <x:v>Listas documentais</x:v>
      </x:c>
      <x:c r="C21" s="20" t="str">
        <x:v>Gerar Requisitos e Tarefas.</x:v>
      </x:c>
      <x:c r="D21" s="20" t="str">
        <x:v>Dados reais e formatação íntegra.</x:v>
      </x:c>
      <x:c r="E21" s="20" t="str">
        <x:v>Listas geradas com dados e formatação corretos.</x:v>
      </x:c>
      <x:c r="F21" s="20" t="str">
        <x:v>EV-HOM-GERAL-001</x:v>
      </x:c>
      <x:c r="G21" s="33" t="str">
        <x:v>Aprovado</x:v>
      </x:c>
      <x:c r="H21" s="62" t="n">
        <x:v>46231.5</x:v>
      </x:c>
      <x:c r="I21" s="20" t="str">
        <x:v>Liliane de Freitas Terra Vieira</x:v>
      </x:c>
    </x:row>
    <x:row r="22">
      <x:c r="A22" s="33" t="str">
        <x:v>HOM-021</x:v>
      </x:c>
      <x:c r="B22" s="20" t="str">
        <x:v>Backlog Consolidado</x:v>
      </x:c>
      <x:c r="C22" s="20" t="str">
        <x:v>Gerar duas vezes.</x:v>
      </x:c>
      <x:c r="D22" s="20" t="str">
        <x:v>Agrupamento correto e versão seguinte.</x:v>
      </x:c>
      <x:c r="E22" s="20" t="str">
        <x:v>Agrupamento e incremento de versão aprovados.</x:v>
      </x:c>
      <x:c r="F22" s="20" t="str">
        <x:v>EV-HOM-GERAL-001</x:v>
      </x:c>
      <x:c r="G22" s="33" t="str">
        <x:v>Aprovado</x:v>
      </x:c>
      <x:c r="H22" s="62" t="n">
        <x:v>46231.5</x:v>
      </x:c>
      <x:c r="I22" s="20" t="str">
        <x:v>Liliane de Freitas Terra Vieira</x:v>
      </x:c>
    </x:row>
    <x:row r="23">
      <x:c r="A23" s="33" t="str">
        <x:v>HOM-022</x:v>
      </x:c>
      <x:c r="B23" s="20" t="str">
        <x:v>Modelos</x:v>
      </x:c>
      <x:c r="C23" s="20" t="str">
        <x:v>Personalizar modelo e gerar.</x:v>
      </x:c>
      <x:c r="D23" s="20" t="str">
        <x:v>Personalização aplicada sem quebrar estrutura.</x:v>
      </x:c>
      <x:c r="E23" s="20" t="str">
        <x:v>Personalização preservou a estrutura documental.</x:v>
      </x:c>
      <x:c r="F23" s="20" t="str">
        <x:v>EV-HOM-GERAL-001</x:v>
      </x:c>
      <x:c r="G23" s="33" t="str">
        <x:v>Aprovado</x:v>
      </x:c>
      <x:c r="H23" s="62" t="n">
        <x:v>46231.5</x:v>
      </x:c>
      <x:c r="I23" s="20" t="str">
        <x:v>Liliane de Freitas Terra Vieira</x:v>
      </x:c>
    </x:row>
    <x:row r="24">
      <x:c r="A24" s="33" t="str">
        <x:v>HOM-023</x:v>
      </x:c>
      <x:c r="B24" s="20" t="str">
        <x:v>Comentários</x:v>
      </x:c>
      <x:c r="C24" s="20" t="str">
        <x:v>Comentar projeto, requisito e tarefa.</x:v>
      </x:c>
      <x:c r="D24" s="20" t="str">
        <x:v>Contexto, autor e horário corretos.</x:v>
      </x:c>
      <x:c r="E24" s="20" t="str">
        <x:v>Comentários registrados nos contextos corretos.</x:v>
      </x:c>
      <x:c r="F24" s="20" t="str">
        <x:v>EV-HOM-GERAL-001</x:v>
      </x:c>
      <x:c r="G24" s="33" t="str">
        <x:v>Aprovado</x:v>
      </x:c>
      <x:c r="H24" s="62" t="n">
        <x:v>46231.5</x:v>
      </x:c>
      <x:c r="I24" s="20" t="str">
        <x:v>Liliane de Freitas Terra Vieira</x:v>
      </x:c>
    </x:row>
    <x:row r="25">
      <x:c r="A25" s="33" t="str">
        <x:v>HOM-024</x:v>
      </x:c>
      <x:c r="B25" s="20" t="str">
        <x:v>Anexo válido</x:v>
      </x:c>
      <x:c r="C25" s="20" t="str">
        <x:v>Enviar e baixar PDF ou imagem.</x:v>
      </x:c>
      <x:c r="D25" s="20" t="str">
        <x:v>Arquivo privado e download autorizado.</x:v>
      </x:c>
      <x:c r="E25" s="20" t="str">
        <x:v>Upload privado e download autorizado aprovados.</x:v>
      </x:c>
      <x:c r="F25" s="20" t="str">
        <x:v>EV-HOM-GERAL-001</x:v>
      </x:c>
      <x:c r="G25" s="33" t="str">
        <x:v>Aprovado</x:v>
      </x:c>
      <x:c r="H25" s="62" t="n">
        <x:v>46231.5</x:v>
      </x:c>
      <x:c r="I25" s="20" t="str">
        <x:v>Liliane de Freitas Terra Vieira</x:v>
      </x:c>
    </x:row>
    <x:row r="26">
      <x:c r="A26" s="33" t="str">
        <x:v>HOM-025</x:v>
      </x:c>
      <x:c r="B26" s="20" t="str">
        <x:v>Anexo inválido</x:v>
      </x:c>
      <x:c r="C26" s="20" t="str">
        <x:v>Enviar tipo proibido ou acima do limite.</x:v>
      </x:c>
      <x:c r="D26" s="20" t="str">
        <x:v>Upload rejeitado.</x:v>
      </x:c>
      <x:c r="E26" s="20" t="str">
        <x:v>Tipo e tamanho inválidos foram rejeitados.</x:v>
      </x:c>
      <x:c r="F26" s="20" t="str">
        <x:v>EV-HOM-GERAL-001</x:v>
      </x:c>
      <x:c r="G26" s="33" t="str">
        <x:v>Aprovado</x:v>
      </x:c>
      <x:c r="H26" s="62" t="n">
        <x:v>46231.5</x:v>
      </x:c>
      <x:c r="I26" s="20" t="str">
        <x:v>Liliane de Freitas Terra Vieira</x:v>
      </x:c>
    </x:row>
    <x:row r="27">
      <x:c r="A27" s="33" t="str">
        <x:v>HOM-026</x:v>
      </x:c>
      <x:c r="B27" s="20" t="str">
        <x:v>Remoção de anexo</x:v>
      </x:c>
      <x:c r="C27" s="20" t="str">
        <x:v>Remover como autor e tentar sem permissão.</x:v>
      </x:c>
      <x:c r="D27" s="20" t="str">
        <x:v>Remoção lógica e auditoria corretas.</x:v>
      </x:c>
      <x:c r="E27" s="20" t="str">
        <x:v>Remoção autorizada e bloqueio indevido aprovados.</x:v>
      </x:c>
      <x:c r="F27" s="20" t="str">
        <x:v>EV-HOM-GERAL-001</x:v>
      </x:c>
      <x:c r="G27" s="33" t="str">
        <x:v>Aprovado</x:v>
      </x:c>
      <x:c r="H27" s="62" t="n">
        <x:v>46231.5</x:v>
      </x:c>
      <x:c r="I27" s="20" t="str">
        <x:v>Liliane de Freitas Terra Vieira</x:v>
      </x:c>
    </x:row>
    <x:row r="28">
      <x:c r="A28" s="33" t="str">
        <x:v>HOM-027</x:v>
      </x:c>
      <x:c r="B28" s="20" t="str">
        <x:v>Histórico</x:v>
      </x:c>
      <x:c r="C28" s="20" t="str">
        <x:v>Consultar e filtrar categorias.</x:v>
      </x:c>
      <x:c r="D28" s="20" t="str">
        <x:v>Fontes consolidadas e filtros corretos.</x:v>
      </x:c>
      <x:c r="E28" s="20" t="str">
        <x:v>Histórico consolidado e filtros aprovados.</x:v>
      </x:c>
      <x:c r="F28" s="20" t="str">
        <x:v>EV-HOM-GERAL-001</x:v>
      </x:c>
      <x:c r="G28" s="33" t="str">
        <x:v>Aprovado</x:v>
      </x:c>
      <x:c r="H28" s="62" t="n">
        <x:v>46231.5</x:v>
      </x:c>
      <x:c r="I28" s="20" t="str">
        <x:v>Liliane de Freitas Terra Vieira</x:v>
      </x:c>
    </x:row>
    <x:row r="29">
      <x:c r="A29" s="33" t="str">
        <x:v>HOM-028</x:v>
      </x:c>
      <x:c r="B29" s="20" t="str">
        <x:v>Dashboard</x:v>
      </x:c>
      <x:c r="C29" s="20" t="str">
        <x:v>Comparar os oito cards com a base.</x:v>
      </x:c>
      <x:c r="D29" s="20" t="str">
        <x:v>Valores e progresso corretos.</x:v>
      </x:c>
      <x:c r="E29" s="20" t="str">
        <x:v>Indicadores conciliados com a base.</x:v>
      </x:c>
      <x:c r="F29" s="20" t="str">
        <x:v>EV-HOM-GERAL-001</x:v>
      </x:c>
      <x:c r="G29" s="33" t="str">
        <x:v>Aprovado</x:v>
      </x:c>
      <x:c r="H29" s="62" t="n">
        <x:v>46231.5</x:v>
      </x:c>
      <x:c r="I29" s="20" t="str">
        <x:v>Liliane de Freitas Terra Vieira</x:v>
      </x:c>
    </x:row>
    <x:row r="30">
      <x:c r="A30" s="33" t="str">
        <x:v>HOM-029</x:v>
      </x:c>
      <x:c r="B30" s="20" t="str">
        <x:v>Calendário</x:v>
      </x:c>
      <x:c r="C30" s="20" t="str">
        <x:v>Testar mês e filtros.</x:v>
      </x:c>
      <x:c r="D30" s="20" t="str">
        <x:v>Eventos visíveis e itens sem planejamento.</x:v>
      </x:c>
      <x:c r="E30" s="20" t="str">
        <x:v>Eventos, filtros e itens sem planejamento aprovados.</x:v>
      </x:c>
      <x:c r="F30" s="20" t="str">
        <x:v>EV-HOM-GERAL-001</x:v>
      </x:c>
      <x:c r="G30" s="33" t="str">
        <x:v>Aprovado</x:v>
      </x:c>
      <x:c r="H30" s="62" t="n">
        <x:v>46231.5</x:v>
      </x:c>
      <x:c r="I30" s="20" t="str">
        <x:v>Liliane de Freitas Terra Vieira</x:v>
      </x:c>
    </x:row>
    <x:row r="31">
      <x:c r="A31" s="33" t="str">
        <x:v>HOM-030</x:v>
      </x:c>
      <x:c r="B31" s="20" t="str">
        <x:v>Gantt</x:v>
      </x:c>
      <x:c r="C31" s="20" t="str">
        <x:v>Consultar tarefas com e sem datas.</x:v>
      </x:c>
      <x:c r="D31" s="20" t="str">
        <x:v>Períodos, grupos e atrasos corretos.</x:v>
      </x:c>
      <x:c r="E31" s="20" t="str">
        <x:v>Períodos, grupos, atrasos e ausência de datas aprovados.</x:v>
      </x:c>
      <x:c r="F31" s="20" t="str">
        <x:v>EV-HOM-GERAL-001</x:v>
      </x:c>
      <x:c r="G31" s="33" t="str">
        <x:v>Aprovado</x:v>
      </x:c>
      <x:c r="H31" s="62" t="n">
        <x:v>46231.5</x:v>
      </x:c>
      <x:c r="I31" s="20" t="str">
        <x:v>Liliane de Freitas Terra Vieira</x:v>
      </x:c>
    </x:row>
    <x:row r="32">
      <x:c r="A32" s="33" t="str">
        <x:v>HOM-031</x:v>
      </x:c>
      <x:c r="B32" s="20" t="str">
        <x:v>Responsividade</x:v>
      </x:c>
      <x:c r="C32" s="20" t="str">
        <x:v>Validar 1366x768, 1920x1080 e largura móvel.</x:v>
      </x:c>
      <x:c r="D32" s="20" t="str">
        <x:v>Sem corte impeditivo ou sobreposição.</x:v>
      </x:c>
      <x:c r="E32" s="20" t="str">
        <x:v>Layouts avaliados sem impedimento visual.</x:v>
      </x:c>
      <x:c r="F32" s="20" t="str">
        <x:v>EV-HOM-GERAL-001</x:v>
      </x:c>
      <x:c r="G32" s="33" t="str">
        <x:v>Aprovado</x:v>
      </x:c>
      <x:c r="H32" s="62" t="n">
        <x:v>46231.5</x:v>
      </x:c>
      <x:c r="I32" s="20" t="str">
        <x:v>Liliane de Freitas Terra Vieira</x:v>
      </x:c>
    </x:row>
    <x:row r="33">
      <x:c r="A33" s="33" t="str">
        <x:v>HOM-032</x:v>
      </x:c>
      <x:c r="B33" s="20" t="str">
        <x:v>Navegadores</x:v>
      </x:c>
      <x:c r="C33" s="20" t="str">
        <x:v>Validar Firefox e Chromium atuais.</x:v>
      </x:c>
      <x:c r="D33" s="20" t="str">
        <x:v>Fluxos críticos funcionam.</x:v>
      </x:c>
      <x:c r="E33" s="20" t="str">
        <x:v>Fluxos críticos aprovados nos dois motores.</x:v>
      </x:c>
      <x:c r="F33" s="20" t="str">
        <x:v>EV-HOM-GERAL-001</x:v>
      </x:c>
      <x:c r="G33" s="33" t="str">
        <x:v>Aprovado</x:v>
      </x:c>
      <x:c r="H33" s="62" t="n">
        <x:v>46231.5</x:v>
      </x:c>
      <x:c r="I33" s="20" t="str">
        <x:v>Liliane de Freitas Terra Vieira</x:v>
      </x:c>
    </x:row>
    <x:row r="34">
      <x:c r="A34" s="33" t="str">
        <x:v>HOM-033</x:v>
      </x:c>
      <x:c r="B34" s="20" t="str">
        <x:v>Backup</x:v>
      </x:c>
      <x:c r="C34" s="20" t="str">
        <x:v>Gerar dump e copiar arquivos privados.</x:v>
      </x:c>
      <x:c r="D34" s="20" t="str">
        <x:v>Conjunto identificado e íntegro.</x:v>
      </x:c>
      <x:c r="E34" s="20" t="str">
        <x:v>Conjunto de backup identificado e verificado.</x:v>
      </x:c>
      <x:c r="F34" s="20" t="str">
        <x:v>EV-HOM-GERAL-001</x:v>
      </x:c>
      <x:c r="G34" s="33" t="str">
        <x:v>Aprovado</x:v>
      </x:c>
      <x:c r="H34" s="62" t="n">
        <x:v>46231.5</x:v>
      </x:c>
      <x:c r="I34" s="20" t="str">
        <x:v>Liliane de Freitas Terra Vieira</x:v>
      </x:c>
    </x:row>
    <x:row r="35">
      <x:c r="A35" s="33" t="str">
        <x:v>HOM-034</x:v>
      </x:c>
      <x:c r="B35" s="20" t="str">
        <x:v>Restauração</x:v>
      </x:c>
      <x:c r="C35" s="20" t="str">
        <x:v>Restaurar em ambiente alternativo.</x:v>
      </x:c>
      <x:c r="D35" s="20" t="str">
        <x:v>Login, consultas e downloads funcionam.</x:v>
      </x:c>
      <x:c r="E35" s="20" t="str">
        <x:v>Restauração validada com autenticação, consultas e arquivos.</x:v>
      </x:c>
      <x:c r="F35" s="20" t="str">
        <x:v>EV-HOM-GERAL-001</x:v>
      </x:c>
      <x:c r="G35" s="33" t="str">
        <x:v>Aprovado</x:v>
      </x:c>
      <x:c r="H35" s="62" t="n">
        <x:v>46231.5</x:v>
      </x:c>
      <x:c r="I35" s="20" t="str">
        <x:v>Liliane de Freitas Terra Vieira</x:v>
      </x:c>
    </x:row>
    <x:row r="36">
      <x:c r="A36" s="33" t="str">
        <x:v>HOM-035</x:v>
      </x:c>
      <x:c r="B36" s="20" t="str">
        <x:v>Produção segura</x:v>
      </x:c>
      <x:c r="C36" s="20" t="str">
        <x:v>Revisar APP_DEBUG, HTTPS, public e permissões.</x:v>
      </x:c>
      <x:c r="D36" s="20" t="str">
        <x:v>Checklist integralmente aprovado.</x:v>
      </x:c>
      <x:c r="E36" s="20" t="str">
        <x:v>Ambiente production, debug false, HTTPS, disco s3, escrita e public/index.php confirmados.</x:v>
      </x:c>
      <x:c r="F36" s="20" t="str">
        <x:v>EV-HOM-035-001 a 005</x:v>
      </x:c>
      <x:c r="G36" s="33" t="str">
        <x:v>Aprovado</x:v>
      </x:c>
      <x:c r="H36" s="62" t="n">
        <x:v>46231.5</x:v>
      </x:c>
      <x:c r="I36" s="20" t="str">
        <x:v>Liliane de Freitas Terra Vieira</x:v>
      </x:c>
    </x:row>
  </x:sheetData>
  <x:conditionalFormatting sqref="G2:G36">
    <x:cfRule type="containsText" dxfId="0" priority="1" operator="containsText" text="Aprovado"/>
  </x:conditionalFormatting>
  <x:pageMargins left="0.7" right="0.7" top="0.75" bottom="0.75" header="0.3" footer="0.3"/>
  <x:tableParts count="1">
    <x:tablePart xmlns:r="http://schemas.openxmlformats.org/officeDocument/2006/relationships" r:id="Rf112d14cdaed4b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55" hidden="0" customWidth="1"/>
    <x:col min="4" max="4" width="22" hidden="0" customWidth="1"/>
    <x:col min="5" max="5" width="20" hidden="0" customWidth="1"/>
  </x:cols>
  <x:sheetData>
    <x:row r="1" ht="30" customHeight="1">
      <x:c r="A1" s="13" t="str">
        <x:v>Código</x:v>
      </x:c>
      <x:c r="B1" s="13" t="str">
        <x:v>Arquivo ou registro</x:v>
      </x:c>
      <x:c r="C1" s="13" t="str">
        <x:v>Descrição</x:v>
      </x:c>
      <x:c r="D1" s="13" t="str">
        <x:v>Caso relacionado</x:v>
      </x:c>
      <x:c r="E1" s="13" t="str">
        <x:v>Tipo</x:v>
      </x:c>
    </x:row>
    <x:row r="2">
      <x:c r="A2" s="19" t="str">
        <x:v>EV-HOM-GERAL-001</x:v>
      </x:c>
      <x:c r="B2" s="19" t="str">
        <x:v>EV-HOM-GERAL-001_Registro-da-Declaracao-Final.txt</x:v>
      </x:c>
      <x:c r="C2" s="19" t="str">
        <x:v>Declaração expressa da responsável pelo encerramento da homologação.</x:v>
      </x:c>
      <x:c r="D2" s="19" t="str">
        <x:v>HOM-001 a HOM-034</x:v>
      </x:c>
      <x:c r="E2" s="19" t="str">
        <x:v>Registro textual</x:v>
      </x:c>
    </x:row>
    <x:row r="3">
      <x:c r="A3" s="20" t="str">
        <x:v>EV-AUTO-001</x:v>
      </x:c>
      <x:c r="B3" s="20" t="str">
        <x:v>Registro consolidado da suíte</x:v>
      </x:c>
      <x:c r="C3" s="20" t="str">
        <x:v>95 testes automatizados e 337 asserções aprovados.</x:v>
      </x:c>
      <x:c r="D3" s="20" t="str">
        <x:v>HOM-002</x:v>
      </x:c>
      <x:c r="E3" s="20" t="str">
        <x:v>Registro técnico</x:v>
      </x:c>
    </x:row>
    <x:row r="4">
      <x:c r="A4" s="20" t="str">
        <x:v>EV-HOM-035-001</x:v>
      </x:c>
      <x:c r="B4" s="20" t="str">
        <x:v>EV-HOM-035-001_Recursos-Conectados-e-Deploys.png</x:v>
      </x:c>
      <x:c r="C4" s="20" t="str">
        <x:v>Aplicação, PostgreSQL, Object Storage e histórico de deploys.</x:v>
      </x:c>
      <x:c r="D4" s="20" t="str">
        <x:v>HOM-035</x:v>
      </x:c>
      <x:c r="E4" s="20" t="str">
        <x:v>Captura de tela</x:v>
      </x:c>
    </x:row>
    <x:row r="5">
      <x:c r="A5" s="20" t="str">
        <x:v>EV-HOM-035-002</x:v>
      </x:c>
      <x:c r="B5" s="20" t="str">
        <x:v>EV-HOM-035-002_Deploy-Concluido-Parte-1.png</x:v>
      </x:c>
      <x:c r="C5" s="20" t="str">
        <x:v>Build e comandos de implantação finalizados.</x:v>
      </x:c>
      <x:c r="D5" s="20" t="str">
        <x:v>HOM-035</x:v>
      </x:c>
      <x:c r="E5" s="20" t="str">
        <x:v>Captura de tela</x:v>
      </x:c>
    </x:row>
    <x:row r="6">
      <x:c r="A6" s="20" t="str">
        <x:v>EV-HOM-035-003</x:v>
      </x:c>
      <x:c r="B6" s="20" t="str">
        <x:v>EV-HOM-035-003_Criacao-Primeira-Administradora.png</x:v>
      </x:c>
      <x:c r="C6" s="20" t="str">
        <x:v>Primeira administradora criada com sucesso.</x:v>
      </x:c>
      <x:c r="D6" s="20" t="str">
        <x:v>HOM-035</x:v>
      </x:c>
      <x:c r="E6" s="20" t="str">
        <x:v>Captura de tela</x:v>
      </x:c>
    </x:row>
    <x:row r="7">
      <x:c r="A7" s="20" t="str">
        <x:v>EV-HOM-035-004</x:v>
      </x:c>
      <x:c r="B7" s="20" t="str">
        <x:v>EV-HOM-035-004_Login-Administradora.png</x:v>
      </x:c>
      <x:c r="C7" s="20" t="str">
        <x:v>Autenticação e painel carregados em produção.</x:v>
      </x:c>
      <x:c r="D7" s="20" t="str">
        <x:v>HOM-004 e HOM-035</x:v>
      </x:c>
      <x:c r="E7" s="20" t="str">
        <x:v>Captura de tela</x:v>
      </x:c>
    </x:row>
    <x:row r="8">
      <x:c r="A8" s="20" t="str">
        <x:v>EV-HOM-035-005</x:v>
      </x:c>
      <x:c r="B8" s="20" t="str">
        <x:v>EV-HOM-035-005_Checklist-Producao-Segura.png</x:v>
      </x:c>
      <x:c r="C8" s="20" t="str">
        <x:v>Production, debug false, HTTPS, s3, permissões e public/index.php.</x:v>
      </x:c>
      <x:c r="D8" s="20" t="str">
        <x:v>HOM-035</x:v>
      </x:c>
      <x:c r="E8" s="20" t="str">
        <x:v>Captura de tela</x:v>
      </x:c>
    </x:row>
  </x:sheetData>
  <x:pageMargins left="0.7" right="0.7" top="0.75" bottom="0.75" header="0.3" footer="0.3"/>
  <x:tableParts count="1">
    <x:tablePart xmlns:r="http://schemas.openxmlformats.org/officeDocument/2006/relationships" r:id="Rd577978c56f44a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4" hidden="0" customWidth="1"/>
    <x:col min="3" max="3" width="22" hidden="0" customWidth="1"/>
    <x:col min="4" max="4" width="34" hidden="0" customWidth="1"/>
    <x:col min="5" max="5" width="18" hidden="0" customWidth="1"/>
  </x:cols>
  <x:sheetData>
    <x:row r="1" ht="30" customHeight="1">
      <x:c r="A1" s="13" t="str">
        <x:v>Ação</x:v>
      </x:c>
      <x:c r="B1" s="13" t="str">
        <x:v>Classificação</x:v>
      </x:c>
      <x:c r="C1" s="13" t="str">
        <x:v>Bloqueia encerramento?</x:v>
      </x:c>
      <x:c r="D1" s="13" t="str">
        <x:v>Responsável</x:v>
      </x:c>
      <x:c r="E1" s="13" t="str">
        <x:v>Situação</x:v>
      </x:c>
    </x:row>
    <x:row r="2">
      <x:c r="A2" s="19" t="str">
        <x:v>Associar ou conferir a tag v1.0.1 no commit 16a3e37</x:v>
      </x:c>
      <x:c r="B2" s="19" t="str">
        <x:v>Governança de release</x:v>
      </x:c>
      <x:c r="C2" s="19" t="str">
        <x:v>Não</x:v>
      </x:c>
      <x:c r="D2" s="19" t="str">
        <x:v>Liliane de Freitas Terra Vieira</x:v>
      </x:c>
      <x:c r="E2" s="19" t="str">
        <x:v>Pendente</x:v>
      </x:c>
    </x:row>
    <x:row r="3">
      <x:c r="A3" s="20" t="str">
        <x:v>Preservar a tag histórica v1.0.0 no commit a5bc837</x:v>
      </x:c>
      <x:c r="B3" s="20" t="str">
        <x:v>Controle de versão</x:v>
      </x:c>
      <x:c r="C3" s="20" t="str">
        <x:v>Não</x:v>
      </x:c>
      <x:c r="D3" s="20" t="str">
        <x:v>Liliane de Freitas Terra Vieira</x:v>
      </x:c>
      <x:c r="E3" s="20" t="str">
        <x:v>Obrigatório</x:v>
      </x:c>
    </x:row>
    <x:row r="4">
      <x:c r="A4" s="20" t="str">
        <x:v>Ativar política de backup antes de armazenar dados reais de clientes</x:v>
      </x:c>
      <x:c r="B4" s="20" t="str">
        <x:v>Operação</x:v>
      </x:c>
      <x:c r="C4" s="20" t="str">
        <x:v>Não para o MVP</x:v>
      </x:c>
      <x:c r="D4" s="20" t="str">
        <x:v>Responsável pela operação</x:v>
      </x:c>
      <x:c r="E4" s="20" t="str">
        <x:v>Planejado</x:v>
      </x:c>
    </x:row>
    <x:row r="5">
      <x:c r="A5" s="20" t="str">
        <x:v>Configurar monitoramento de consumo e limite de gastos</x:v>
      </x:c>
      <x:c r="B5" s="20" t="str">
        <x:v>FinOps</x:v>
      </x:c>
      <x:c r="C5" s="20" t="str">
        <x:v>Não</x:v>
      </x:c>
      <x:c r="D5" s="20" t="str">
        <x:v>Responsável pela operação</x:v>
      </x:c>
      <x:c r="E5" s="20" t="str">
        <x:v>Planejado</x:v>
      </x:c>
    </x:row>
    <x:row r="6">
      <x:c r="A6" s="20" t="str">
        <x:v>Abrir a implementação da BL-SGP-002 em branch própria</x:v>
      </x:c>
      <x:c r="B6" s="20" t="str">
        <x:v>Próxima baseline</x:v>
      </x:c>
      <x:c r="C6" s="20" t="str">
        <x:v>Não</x:v>
      </x:c>
      <x:c r="D6" s="20" t="str">
        <x:v>Responsável pelo produto</x:v>
      </x:c>
      <x:c r="E6" s="20" t="str">
        <x:v>Próximo ciclo</x:v>
      </x:c>
    </x:row>
  </x:sheetData>
  <x:conditionalFormatting sqref="E2:E6">
    <x:cfRule type="containsText" dxfId="1" priority="1" operator="containsText" text="Pendente"/>
  </x:conditionalFormatting>
  <x:pageMargins left="0.7" right="0.7" top="0.75" bottom="0.75" header="0.3" footer="0.3"/>
  <x:tableParts count="1">
    <x:tablePart xmlns:r="http://schemas.openxmlformats.org/officeDocument/2006/relationships" r:id="R175475699dd645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  <x:col min="3" max="3" width="40" hidden="0" customWidth="1"/>
    <x:col min="4" max="4" width="58" hidden="0" customWidth="1"/>
  </x:cols>
  <x:sheetData>
    <x:row r="1" ht="30" customHeight="1">
      <x:c r="A1" s="13" t="str">
        <x:v>Fonte</x:v>
      </x:c>
      <x:c r="B1" s="13" t="str">
        <x:v>Arquivo ou referência</x:v>
      </x:c>
      <x:c r="C1" s="13" t="str">
        <x:v>Seção usada</x:v>
      </x:c>
      <x:c r="D1" s="13" t="str">
        <x:v>Observação</x:v>
      </x:c>
    </x:row>
    <x:row r="2">
      <x:c r="A2" s="19" t="str">
        <x:v>BL-SGP-001</x:v>
      </x:c>
      <x:c r="B2" s="19" t="str">
        <x:v>consolidado-BL-SGP-001_MVP-1.0.0.pdf</x:v>
      </x:c>
      <x:c r="C2" s="19" t="str">
        <x:v>Documentos 00, 05, 12, 13, 14 e 15</x:v>
      </x:c>
      <x:c r="D2" s="19" t="str">
        <x:v>Fonte oficial do escopo e do roteiro de homologação.</x:v>
      </x:c>
    </x:row>
    <x:row r="3">
      <x:c r="A3" s="20" t="str">
        <x:v>BL-SGP-002</x:v>
      </x:c>
      <x:c r="B3" s="20" t="str">
        <x:v>consolidado-BL-SGP-002_Fundacao-SaaS.pdf</x:v>
      </x:c>
      <x:c r="C3" s="20" t="str">
        <x:v>Catálogo e plano da entrega</x:v>
      </x:c>
      <x:c r="D3" s="20" t="str">
        <x:v>Próxima baseline; ainda não implementada.</x:v>
      </x:c>
    </x:row>
    <x:row r="4">
      <x:c r="A4" s="20" t="str">
        <x:v>Governança</x:v>
      </x:c>
      <x:c r="B4" s="20" t="str">
        <x:v>Catálogo Mestre de Governança Documental do SGP</x:v>
      </x:c>
      <x:c r="C4" s="20" t="str">
        <x:v>Precedência e política de alteração</x:v>
      </x:c>
      <x:c r="D4" s="20" t="str">
        <x:v>Preserva histórico e impede sobrescrita silenciosa.</x:v>
      </x:c>
    </x:row>
    <x:row r="5">
      <x:c r="A5" s="20" t="str">
        <x:v>Conciliação</x:v>
      </x:c>
      <x:c r="B5" s="20" t="str">
        <x:v>Relatório de Conciliação Documental e Técnica do SGP</x:v>
      </x:c>
      <x:c r="C5" s="20" t="str">
        <x:v>Conclusão executiva</x:v>
      </x:c>
      <x:c r="D5" s="20" t="str">
        <x:v>Separa MVP, fundação SaaS e roadmap.</x:v>
      </x:c>
    </x:row>
    <x:row r="6">
      <x:c r="A6" s="20" t="str">
        <x:v>Código</x:v>
      </x:c>
      <x:c r="B6" s="20" t="str">
        <x:v>README e CHANGELOG da v1.0.0</x:v>
      </x:c>
      <x:c r="C6" s="20" t="str">
        <x:v>Situação atual e qualidade</x:v>
      </x:c>
      <x:c r="D6" s="20" t="str">
        <x:v>Registra 95 testes, 337 asserções e tag histórica.</x:v>
      </x:c>
    </x:row>
    <x:row r="7">
      <x:c r="A7" s="20" t="str">
        <x:v>Homologação</x:v>
      </x:c>
      <x:c r="B7" s="20" t="str">
        <x:v>Registros da sessão de 28/07/2026</x:v>
      </x:c>
      <x:c r="C7" s="20" t="str">
        <x:v>Deploy, login e checklist</x:v>
      </x:c>
      <x:c r="D7" s="20" t="str">
        <x:v>Confirma o commit 16a3e37 e encerra o HOM-035.</x:v>
      </x:c>
    </x:row>
  </x:sheetData>
  <x:pageMargins left="0.7" right="0.7" top="0.75" bottom="0.75" header="0.3" footer="0.3"/>
  <x:tableParts count="1">
    <x:tablePart xmlns:r="http://schemas.openxmlformats.org/officeDocument/2006/relationships" r:id="R7d5b0672555e4929"/>
  </x:tableParts>
</x:worksheet>
</file>